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slicers/slicer1.xml" ContentType="application/vnd.ms-excel.slicer+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Printo P Ollukaran\Downloads\"/>
    </mc:Choice>
  </mc:AlternateContent>
  <xr:revisionPtr revIDLastSave="0" documentId="13_ncr:1_{06F93B49-1BB8-48E2-B94C-7B55D0482964}" xr6:coauthVersionLast="47" xr6:coauthVersionMax="47" xr10:uidLastSave="{00000000-0000-0000-0000-000000000000}"/>
  <bookViews>
    <workbookView xWindow="-120" yWindow="-120" windowWidth="29040" windowHeight="17520" firstSheet="1" activeTab="1" xr2:uid="{00000000-000D-0000-FFFF-FFFF00000000}"/>
  </bookViews>
  <sheets>
    <sheet name="PMS" sheetId="4" state="hidden" r:id="rId1"/>
    <sheet name="Tickets" sheetId="2" r:id="rId2"/>
    <sheet name="Sheet1" sheetId="3" r:id="rId3"/>
  </sheets>
  <definedNames>
    <definedName name="ExternalData_1" localSheetId="1" hidden="1">Tickets!$A$2:$Q$314</definedName>
    <definedName name="ExternalData_2" localSheetId="0" hidden="1">PMS!$A$1:$E$2220</definedName>
    <definedName name="Slicer_ASM">#N/A</definedName>
    <definedName name="Slicer_Assigned_To">#N/A</definedName>
    <definedName name="Slicer_Due_dates">#N/A</definedName>
    <definedName name="Slicer_Status">#N/A</definedName>
    <definedName name="Slicer_Ticket_Type">#N/A</definedName>
  </definedNames>
  <calcPr calcId="191028"/>
  <pivotCaches>
    <pivotCache cacheId="4" r:id="rId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4:slicerCache r:id="rId8"/>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140" i="2" l="1"/>
  <c r="R238" i="2"/>
  <c r="R174" i="2"/>
  <c r="R41" i="2"/>
  <c r="R35" i="2"/>
  <c r="R142" i="2"/>
  <c r="R176" i="2"/>
  <c r="R156" i="2"/>
  <c r="R280" i="2"/>
  <c r="R8" i="2"/>
  <c r="R49" i="2"/>
  <c r="R87" i="2"/>
  <c r="R206" i="2"/>
  <c r="R237" i="2"/>
  <c r="R9" i="2"/>
  <c r="R133" i="2"/>
  <c r="R50" i="2"/>
  <c r="R40" i="2"/>
  <c r="R224" i="2"/>
  <c r="R77" i="2"/>
  <c r="R141" i="2"/>
  <c r="R184" i="2"/>
  <c r="R185" i="2"/>
  <c r="R281" i="2"/>
  <c r="R51" i="2"/>
  <c r="R52" i="2"/>
  <c r="R220" i="2"/>
  <c r="R228" i="2"/>
  <c r="R182" i="2"/>
  <c r="R254" i="2"/>
  <c r="R255" i="2"/>
  <c r="R166" i="2"/>
  <c r="R301" i="2"/>
  <c r="R4" i="2"/>
  <c r="R53" i="2"/>
  <c r="R186" i="2"/>
  <c r="R207" i="2"/>
  <c r="R208" i="2"/>
  <c r="R99" i="2"/>
  <c r="R308" i="2"/>
  <c r="R239" i="2"/>
  <c r="R10" i="2"/>
  <c r="R11" i="2"/>
  <c r="R290" i="2"/>
  <c r="R92" i="2"/>
  <c r="R54" i="2"/>
  <c r="R55" i="2"/>
  <c r="R56" i="2"/>
  <c r="R225" i="2"/>
  <c r="R209" i="2"/>
  <c r="R306" i="2"/>
  <c r="R307" i="2"/>
  <c r="R229" i="2"/>
  <c r="R240" i="2"/>
  <c r="R37" i="2"/>
  <c r="R38" i="2"/>
  <c r="R100" i="2"/>
  <c r="R212" i="2"/>
  <c r="R12" i="2"/>
  <c r="R101" i="2"/>
  <c r="R175" i="2"/>
  <c r="R241" i="2"/>
  <c r="R94" i="2"/>
  <c r="R102" i="2"/>
  <c r="R302" i="2"/>
  <c r="R303" i="2"/>
  <c r="R134" i="2"/>
  <c r="R135" i="2"/>
  <c r="R136" i="2"/>
  <c r="R242" i="2"/>
  <c r="R46" i="2"/>
  <c r="R165" i="2"/>
  <c r="R181" i="2"/>
  <c r="R243" i="2"/>
  <c r="R145" i="2"/>
  <c r="R256" i="2"/>
  <c r="R137" i="2"/>
  <c r="R226" i="2"/>
  <c r="R103" i="2"/>
  <c r="R309" i="2"/>
  <c r="R104" i="2"/>
  <c r="R13" i="2"/>
  <c r="R231" i="2"/>
  <c r="R232" i="2"/>
  <c r="R173" i="2"/>
  <c r="R282" i="2"/>
  <c r="R14" i="2"/>
  <c r="R15" i="2"/>
  <c r="R84" i="2"/>
  <c r="R233" i="2"/>
  <c r="R16" i="2"/>
  <c r="R7" i="2"/>
  <c r="R296" i="2"/>
  <c r="R155" i="2"/>
  <c r="R143" i="2"/>
  <c r="R144" i="2"/>
  <c r="R283" i="2"/>
  <c r="R284" i="2"/>
  <c r="R5" i="2"/>
  <c r="R98" i="2"/>
  <c r="R275" i="2"/>
  <c r="R97" i="2"/>
  <c r="R195" i="2"/>
  <c r="R194" i="2"/>
  <c r="R247" i="2"/>
  <c r="R214" i="2"/>
  <c r="R83" i="2"/>
  <c r="R105" i="2"/>
  <c r="R253" i="2"/>
  <c r="R300" i="2"/>
  <c r="R17" i="2"/>
  <c r="R57" i="2"/>
  <c r="R169" i="2"/>
  <c r="R170" i="2"/>
  <c r="R171" i="2"/>
  <c r="R172" i="2"/>
  <c r="R230" i="2"/>
  <c r="R187" i="2"/>
  <c r="R58" i="2"/>
  <c r="R221" i="2"/>
  <c r="R106" i="2"/>
  <c r="R285" i="2"/>
  <c r="R263" i="2"/>
  <c r="R199" i="2"/>
  <c r="R138" i="2"/>
  <c r="R146" i="2"/>
  <c r="R47" i="2"/>
  <c r="R95" i="2"/>
  <c r="R18" i="2"/>
  <c r="R59" i="2"/>
  <c r="R85" i="2"/>
  <c r="R264" i="2"/>
  <c r="R272" i="2"/>
  <c r="R19" i="2"/>
  <c r="R265" i="2"/>
  <c r="R266" i="2"/>
  <c r="R259" i="2"/>
  <c r="R107" i="2"/>
  <c r="R108" i="2"/>
  <c r="R36" i="2"/>
  <c r="R188" i="2"/>
  <c r="R189" i="2"/>
  <c r="R20" i="2"/>
  <c r="R227" i="2"/>
  <c r="R210" i="2"/>
  <c r="R3" i="2"/>
  <c r="R167" i="2"/>
  <c r="R197" i="2"/>
  <c r="R198" i="2"/>
  <c r="R60" i="2"/>
  <c r="R48" i="2"/>
  <c r="R215" i="2"/>
  <c r="R139" i="2"/>
  <c r="R109" i="2"/>
  <c r="R42" i="2"/>
  <c r="R252" i="2"/>
  <c r="R132" i="2"/>
  <c r="R157" i="2"/>
  <c r="R257" i="2"/>
  <c r="R216" i="2"/>
  <c r="R110" i="2"/>
  <c r="R293" i="2"/>
  <c r="R158" i="2"/>
  <c r="R310" i="2"/>
  <c r="R130" i="2"/>
  <c r="R43" i="2"/>
  <c r="R267" i="2"/>
  <c r="R131" i="2"/>
  <c r="R260" i="2"/>
  <c r="R93" i="2"/>
  <c r="R190" i="2"/>
  <c r="R6" i="2"/>
  <c r="R234" i="2"/>
  <c r="R279" i="2"/>
  <c r="R61" i="2"/>
  <c r="R111" i="2"/>
  <c r="R21" i="2"/>
  <c r="R244" i="2"/>
  <c r="R286" i="2"/>
  <c r="R45" i="2"/>
  <c r="R217" i="2"/>
  <c r="R112" i="2"/>
  <c r="R113" i="2"/>
  <c r="R222" i="2"/>
  <c r="R294" i="2"/>
  <c r="R62" i="2"/>
  <c r="R223" i="2"/>
  <c r="R147" i="2"/>
  <c r="R268" i="2"/>
  <c r="R270" i="2"/>
  <c r="R271" i="2"/>
  <c r="R148" i="2"/>
  <c r="R246" i="2"/>
  <c r="R218" i="2"/>
  <c r="R200" i="2"/>
  <c r="R276" i="2"/>
  <c r="R287" i="2"/>
  <c r="R261" i="2"/>
  <c r="R96" i="2"/>
  <c r="R304" i="2"/>
  <c r="R149" i="2"/>
  <c r="R159" i="2"/>
  <c r="R22" i="2"/>
  <c r="R213" i="2"/>
  <c r="R114" i="2"/>
  <c r="R115" i="2"/>
  <c r="R277" i="2"/>
  <c r="R23" i="2"/>
  <c r="R74" i="2"/>
  <c r="R63" i="2"/>
  <c r="R78" i="2"/>
  <c r="R160" i="2"/>
  <c r="R288" i="2"/>
  <c r="R24" i="2"/>
  <c r="R64" i="2"/>
  <c r="R203" i="2"/>
  <c r="R273" i="2"/>
  <c r="R305" i="2"/>
  <c r="R79" i="2"/>
  <c r="R90" i="2"/>
  <c r="R211" i="2"/>
  <c r="R116" i="2"/>
  <c r="R25" i="2"/>
  <c r="R26" i="2"/>
  <c r="R177" i="2"/>
  <c r="R178" i="2"/>
  <c r="R297" i="2"/>
  <c r="R248" i="2"/>
  <c r="R161" i="2"/>
  <c r="R235" i="2"/>
  <c r="R295" i="2"/>
  <c r="R117" i="2"/>
  <c r="R236" i="2"/>
  <c r="R262" i="2"/>
  <c r="R292" i="2"/>
  <c r="R118" i="2"/>
  <c r="R150" i="2"/>
  <c r="R151" i="2"/>
  <c r="R27" i="2"/>
  <c r="R28" i="2"/>
  <c r="R65" i="2"/>
  <c r="R66" i="2"/>
  <c r="R119" i="2"/>
  <c r="R274" i="2"/>
  <c r="R162" i="2"/>
  <c r="R152" i="2"/>
  <c r="R67" i="2"/>
  <c r="R120" i="2"/>
  <c r="R289" i="2"/>
  <c r="R68" i="2"/>
  <c r="R298" i="2"/>
  <c r="R299" i="2"/>
  <c r="R29" i="2"/>
  <c r="R201" i="2"/>
  <c r="R191" i="2"/>
  <c r="R163" i="2"/>
  <c r="R164" i="2"/>
  <c r="R245" i="2"/>
  <c r="R30" i="2"/>
  <c r="R31" i="2"/>
  <c r="R44" i="2"/>
  <c r="R69" i="2"/>
  <c r="R121" i="2"/>
  <c r="R122" i="2"/>
  <c r="R291" i="2"/>
  <c r="R123" i="2"/>
  <c r="R124" i="2"/>
  <c r="R168" i="2"/>
  <c r="R70" i="2"/>
  <c r="R204" i="2"/>
  <c r="R75" i="2"/>
  <c r="R153" i="2"/>
  <c r="R88" i="2"/>
  <c r="R89" i="2"/>
  <c r="R76" i="2"/>
  <c r="R249" i="2"/>
  <c r="R82" i="2"/>
  <c r="R202" i="2"/>
  <c r="R32" i="2"/>
  <c r="R311" i="2"/>
  <c r="R91" i="2"/>
  <c r="R125" i="2"/>
  <c r="R269" i="2"/>
  <c r="R33" i="2"/>
  <c r="R34" i="2"/>
  <c r="R71" i="2"/>
  <c r="R192" i="2"/>
  <c r="R126" i="2"/>
  <c r="R154" i="2"/>
  <c r="R219" i="2"/>
  <c r="R86" i="2"/>
  <c r="R250" i="2"/>
  <c r="R80" i="2"/>
  <c r="R193" i="2"/>
  <c r="R39" i="2"/>
  <c r="R179" i="2"/>
  <c r="R180" i="2"/>
  <c r="R278" i="2"/>
  <c r="R205" i="2"/>
  <c r="R251" i="2"/>
  <c r="R81" i="2"/>
  <c r="R312" i="2"/>
  <c r="R313" i="2"/>
  <c r="R258" i="2"/>
  <c r="R127" i="2"/>
  <c r="R72" i="2"/>
  <c r="R128" i="2"/>
  <c r="R129" i="2"/>
  <c r="R196" i="2"/>
  <c r="R183" i="2"/>
  <c r="R73" i="2"/>
  <c r="R314" i="2"/>
  <c r="S140" i="2"/>
  <c r="S238" i="2"/>
  <c r="S174" i="2"/>
  <c r="S41" i="2"/>
  <c r="S35" i="2"/>
  <c r="S142" i="2"/>
  <c r="S176" i="2"/>
  <c r="S156" i="2"/>
  <c r="S280" i="2"/>
  <c r="S8" i="2"/>
  <c r="S49" i="2"/>
  <c r="S87" i="2"/>
  <c r="S206" i="2"/>
  <c r="S237" i="2"/>
  <c r="S9" i="2"/>
  <c r="S133" i="2"/>
  <c r="S50" i="2"/>
  <c r="S40" i="2"/>
  <c r="S224" i="2"/>
  <c r="S77" i="2"/>
  <c r="S141" i="2"/>
  <c r="S184" i="2"/>
  <c r="S185" i="2"/>
  <c r="S281" i="2"/>
  <c r="S51" i="2"/>
  <c r="S52" i="2"/>
  <c r="S220" i="2"/>
  <c r="S228" i="2"/>
  <c r="S182" i="2"/>
  <c r="S254" i="2"/>
  <c r="S255" i="2"/>
  <c r="S166" i="2"/>
  <c r="S301" i="2"/>
  <c r="S4" i="2"/>
  <c r="S53" i="2"/>
  <c r="S186" i="2"/>
  <c r="S207" i="2"/>
  <c r="S208" i="2"/>
  <c r="S99" i="2"/>
  <c r="S308" i="2"/>
  <c r="S239" i="2"/>
  <c r="S10" i="2"/>
  <c r="S11" i="2"/>
  <c r="S290" i="2"/>
  <c r="S92" i="2"/>
  <c r="S54" i="2"/>
  <c r="S55" i="2"/>
  <c r="S56" i="2"/>
  <c r="S225" i="2"/>
  <c r="S209" i="2"/>
  <c r="S306" i="2"/>
  <c r="S307" i="2"/>
  <c r="S229" i="2"/>
  <c r="S240" i="2"/>
  <c r="S37" i="2"/>
  <c r="S38" i="2"/>
  <c r="S100" i="2"/>
  <c r="S212" i="2"/>
  <c r="S12" i="2"/>
  <c r="S101" i="2"/>
  <c r="S175" i="2"/>
  <c r="S241" i="2"/>
  <c r="S94" i="2"/>
  <c r="S102" i="2"/>
  <c r="S302" i="2"/>
  <c r="S303" i="2"/>
  <c r="S134" i="2"/>
  <c r="S135" i="2"/>
  <c r="S136" i="2"/>
  <c r="S242" i="2"/>
  <c r="S46" i="2"/>
  <c r="S165" i="2"/>
  <c r="S181" i="2"/>
  <c r="S243" i="2"/>
  <c r="S145" i="2"/>
  <c r="S256" i="2"/>
  <c r="S137" i="2"/>
  <c r="S226" i="2"/>
  <c r="S103" i="2"/>
  <c r="S309" i="2"/>
  <c r="S104" i="2"/>
  <c r="S13" i="2"/>
  <c r="S231" i="2"/>
  <c r="S232" i="2"/>
  <c r="S173" i="2"/>
  <c r="S282" i="2"/>
  <c r="S14" i="2"/>
  <c r="S15" i="2"/>
  <c r="S84" i="2"/>
  <c r="S233" i="2"/>
  <c r="S16" i="2"/>
  <c r="S7" i="2"/>
  <c r="S296" i="2"/>
  <c r="S155" i="2"/>
  <c r="S143" i="2"/>
  <c r="S144" i="2"/>
  <c r="S283" i="2"/>
  <c r="S284" i="2"/>
  <c r="S5" i="2"/>
  <c r="S98" i="2"/>
  <c r="S275" i="2"/>
  <c r="S97" i="2"/>
  <c r="S195" i="2"/>
  <c r="S194" i="2"/>
  <c r="S247" i="2"/>
  <c r="S214" i="2"/>
  <c r="S83" i="2"/>
  <c r="S105" i="2"/>
  <c r="S253" i="2"/>
  <c r="S300" i="2"/>
  <c r="S17" i="2"/>
  <c r="S57" i="2"/>
  <c r="S169" i="2"/>
  <c r="S170" i="2"/>
  <c r="S171" i="2"/>
  <c r="S172" i="2"/>
  <c r="S230" i="2"/>
  <c r="S187" i="2"/>
  <c r="S58" i="2"/>
  <c r="S221" i="2"/>
  <c r="S106" i="2"/>
  <c r="S285" i="2"/>
  <c r="S263" i="2"/>
  <c r="S199" i="2"/>
  <c r="S138" i="2"/>
  <c r="S146" i="2"/>
  <c r="S47" i="2"/>
  <c r="S95" i="2"/>
  <c r="S18" i="2"/>
  <c r="S59" i="2"/>
  <c r="S85" i="2"/>
  <c r="S264" i="2"/>
  <c r="S272" i="2"/>
  <c r="S19" i="2"/>
  <c r="S265" i="2"/>
  <c r="S266" i="2"/>
  <c r="S259" i="2"/>
  <c r="S107" i="2"/>
  <c r="S108" i="2"/>
  <c r="S36" i="2"/>
  <c r="S188" i="2"/>
  <c r="S189" i="2"/>
  <c r="S20" i="2"/>
  <c r="S227" i="2"/>
  <c r="S210" i="2"/>
  <c r="S3" i="2"/>
  <c r="S167" i="2"/>
  <c r="S197" i="2"/>
  <c r="S198" i="2"/>
  <c r="S60" i="2"/>
  <c r="S48" i="2"/>
  <c r="S215" i="2"/>
  <c r="S139" i="2"/>
  <c r="S109" i="2"/>
  <c r="S42" i="2"/>
  <c r="S252" i="2"/>
  <c r="S132" i="2"/>
  <c r="S157" i="2"/>
  <c r="S257" i="2"/>
  <c r="S216" i="2"/>
  <c r="S110" i="2"/>
  <c r="S293" i="2"/>
  <c r="S158" i="2"/>
  <c r="S310" i="2"/>
  <c r="S130" i="2"/>
  <c r="S43" i="2"/>
  <c r="S267" i="2"/>
  <c r="S131" i="2"/>
  <c r="S260" i="2"/>
  <c r="S93" i="2"/>
  <c r="S190" i="2"/>
  <c r="S6" i="2"/>
  <c r="S234" i="2"/>
  <c r="S279" i="2"/>
  <c r="S61" i="2"/>
  <c r="S111" i="2"/>
  <c r="S21" i="2"/>
  <c r="S244" i="2"/>
  <c r="S286" i="2"/>
  <c r="S45" i="2"/>
  <c r="S217" i="2"/>
  <c r="S112" i="2"/>
  <c r="S113" i="2"/>
  <c r="S222" i="2"/>
  <c r="S294" i="2"/>
  <c r="S62" i="2"/>
  <c r="S223" i="2"/>
  <c r="S147" i="2"/>
  <c r="S268" i="2"/>
  <c r="S270" i="2"/>
  <c r="S271" i="2"/>
  <c r="S148" i="2"/>
  <c r="S246" i="2"/>
  <c r="S218" i="2"/>
  <c r="S200" i="2"/>
  <c r="S276" i="2"/>
  <c r="S287" i="2"/>
  <c r="S261" i="2"/>
  <c r="S96" i="2"/>
  <c r="S304" i="2"/>
  <c r="S149" i="2"/>
  <c r="S159" i="2"/>
  <c r="S22" i="2"/>
  <c r="S213" i="2"/>
  <c r="S114" i="2"/>
  <c r="S115" i="2"/>
  <c r="S277" i="2"/>
  <c r="S23" i="2"/>
  <c r="S74" i="2"/>
  <c r="S63" i="2"/>
  <c r="S78" i="2"/>
  <c r="S160" i="2"/>
  <c r="S288" i="2"/>
  <c r="S24" i="2"/>
  <c r="S64" i="2"/>
  <c r="S203" i="2"/>
  <c r="S273" i="2"/>
  <c r="S305" i="2"/>
  <c r="S79" i="2"/>
  <c r="S90" i="2"/>
  <c r="S211" i="2"/>
  <c r="S116" i="2"/>
  <c r="S25" i="2"/>
  <c r="S26" i="2"/>
  <c r="S177" i="2"/>
  <c r="S178" i="2"/>
  <c r="S297" i="2"/>
  <c r="S248" i="2"/>
  <c r="S161" i="2"/>
  <c r="S235" i="2"/>
  <c r="S295" i="2"/>
  <c r="S117" i="2"/>
  <c r="S236" i="2"/>
  <c r="S262" i="2"/>
  <c r="S292" i="2"/>
  <c r="S118" i="2"/>
  <c r="S150" i="2"/>
  <c r="S151" i="2"/>
  <c r="S27" i="2"/>
  <c r="S28" i="2"/>
  <c r="S65" i="2"/>
  <c r="S66" i="2"/>
  <c r="S119" i="2"/>
  <c r="S274" i="2"/>
  <c r="S162" i="2"/>
  <c r="S152" i="2"/>
  <c r="S67" i="2"/>
  <c r="S120" i="2"/>
  <c r="S289" i="2"/>
  <c r="S68" i="2"/>
  <c r="S298" i="2"/>
  <c r="S299" i="2"/>
  <c r="S29" i="2"/>
  <c r="S201" i="2"/>
  <c r="S191" i="2"/>
  <c r="S163" i="2"/>
  <c r="S164" i="2"/>
  <c r="S245" i="2"/>
  <c r="S30" i="2"/>
  <c r="S31" i="2"/>
  <c r="S44" i="2"/>
  <c r="S69" i="2"/>
  <c r="S121" i="2"/>
  <c r="S122" i="2"/>
  <c r="S291" i="2"/>
  <c r="S123" i="2"/>
  <c r="S124" i="2"/>
  <c r="S168" i="2"/>
  <c r="S70" i="2"/>
  <c r="S204" i="2"/>
  <c r="S75" i="2"/>
  <c r="S153" i="2"/>
  <c r="S88" i="2"/>
  <c r="S89" i="2"/>
  <c r="S76" i="2"/>
  <c r="S249" i="2"/>
  <c r="S82" i="2"/>
  <c r="S202" i="2"/>
  <c r="S32" i="2"/>
  <c r="S311" i="2"/>
  <c r="S91" i="2"/>
  <c r="S125" i="2"/>
  <c r="S269" i="2"/>
  <c r="S33" i="2"/>
  <c r="S34" i="2"/>
  <c r="S71" i="2"/>
  <c r="S192" i="2"/>
  <c r="S126" i="2"/>
  <c r="S154" i="2"/>
  <c r="S219" i="2"/>
  <c r="S86" i="2"/>
  <c r="S250" i="2"/>
  <c r="S80" i="2"/>
  <c r="S193" i="2"/>
  <c r="S39" i="2"/>
  <c r="S179" i="2"/>
  <c r="S180" i="2"/>
  <c r="S278" i="2"/>
  <c r="S205" i="2"/>
  <c r="S251" i="2"/>
  <c r="S81" i="2"/>
  <c r="S312" i="2"/>
  <c r="S313" i="2"/>
  <c r="S258" i="2"/>
  <c r="S127" i="2"/>
  <c r="S72" i="2"/>
  <c r="S128" i="2"/>
  <c r="S129" i="2"/>
  <c r="S196" i="2"/>
  <c r="S183" i="2"/>
  <c r="S73" i="2"/>
  <c r="S314" i="2"/>
  <c r="N1"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8E6C15-DBAC-47DF-B2BE-B39FF373A2FD}" keepAlive="1" name="Query - PMS" description="Connection to the 'PMS' query in the workbook." type="5" refreshedVersion="8" background="1" saveData="1">
    <dbPr connection="Provider=Microsoft.Mashup.OleDb.1;Data Source=$Workbook$;Location=PMS;Extended Properties=&quot;&quot;" command="SELECT * FROM [PMS]"/>
  </connection>
  <connection id="2" xr16:uid="{B44A2000-8630-49FD-85A3-5980EE3138BD}" keepAlive="1" name="Query - Ticket3" description="Connection to the 'Ticket3' query in the workbook." type="5" refreshedVersion="8" background="1" saveData="1">
    <dbPr connection="Provider=Microsoft.Mashup.OleDb.1;Data Source=$Workbook$;Location=Ticket3;Extended Properties=&quot;&quot;" command="SELECT * FROM [Ticket3]"/>
  </connection>
</connections>
</file>

<file path=xl/sharedStrings.xml><?xml version="1.0" encoding="utf-8"?>
<sst xmlns="http://schemas.openxmlformats.org/spreadsheetml/2006/main" count="5682" uniqueCount="2989">
  <si>
    <t>Serial Number</t>
  </si>
  <si>
    <t>Last PMS</t>
  </si>
  <si>
    <t>PMS-2</t>
  </si>
  <si>
    <t>PMS-3</t>
  </si>
  <si>
    <t>PMS-4</t>
  </si>
  <si>
    <t>7702416/A</t>
  </si>
  <si>
    <t>1601</t>
  </si>
  <si>
    <t>26053057</t>
  </si>
  <si>
    <t>559309</t>
  </si>
  <si>
    <t>1911670/A</t>
  </si>
  <si>
    <t>1911669/A</t>
  </si>
  <si>
    <t>1461</t>
  </si>
  <si>
    <t>26053023</t>
  </si>
  <si>
    <t>048B20152</t>
  </si>
  <si>
    <t>1909071/A</t>
  </si>
  <si>
    <t>054B72152</t>
  </si>
  <si>
    <t>26033416</t>
  </si>
  <si>
    <t>10030</t>
  </si>
  <si>
    <t>051B71152</t>
  </si>
  <si>
    <t>1908967/A</t>
  </si>
  <si>
    <t>1909046/A</t>
  </si>
  <si>
    <t>OS060008</t>
  </si>
  <si>
    <t>328A24062</t>
  </si>
  <si>
    <t>D036AF001A08A022080008</t>
  </si>
  <si>
    <t>DO29AF001C08A025300008</t>
  </si>
  <si>
    <t>26053058</t>
  </si>
  <si>
    <t>OS060012</t>
  </si>
  <si>
    <t>26043020</t>
  </si>
  <si>
    <t>D036AF001A08A022030008</t>
  </si>
  <si>
    <t>684202</t>
  </si>
  <si>
    <t>D036AF001A08A022030004</t>
  </si>
  <si>
    <t>1911643/A</t>
  </si>
  <si>
    <t>1911644/A</t>
  </si>
  <si>
    <t>1908976/A</t>
  </si>
  <si>
    <t>1016-4-3873</t>
  </si>
  <si>
    <t>1909079/A</t>
  </si>
  <si>
    <t>1029-5-260</t>
  </si>
  <si>
    <t>1089-1-589</t>
  </si>
  <si>
    <t>26053062</t>
  </si>
  <si>
    <t>1908973/A</t>
  </si>
  <si>
    <t>26053061</t>
  </si>
  <si>
    <t>24101016</t>
  </si>
  <si>
    <t>1911586/A</t>
  </si>
  <si>
    <t>1909066/A</t>
  </si>
  <si>
    <t>1908982/A</t>
  </si>
  <si>
    <t>26033415</t>
  </si>
  <si>
    <t>1909029/A</t>
  </si>
  <si>
    <t>329A74062</t>
  </si>
  <si>
    <t>OS020028</t>
  </si>
  <si>
    <t>329A84062</t>
  </si>
  <si>
    <t>30250385</t>
  </si>
  <si>
    <t>1908761/A</t>
  </si>
  <si>
    <t>30250383</t>
  </si>
  <si>
    <t>24090996</t>
  </si>
  <si>
    <t>1029-5-269</t>
  </si>
  <si>
    <t>26043022</t>
  </si>
  <si>
    <t>24090991</t>
  </si>
  <si>
    <t>7702340/A</t>
  </si>
  <si>
    <t>1497</t>
  </si>
  <si>
    <t>26043021</t>
  </si>
  <si>
    <t>1895</t>
  </si>
  <si>
    <t>685002</t>
  </si>
  <si>
    <t>6465</t>
  </si>
  <si>
    <t>683101</t>
  </si>
  <si>
    <t>7702351/A</t>
  </si>
  <si>
    <t>601A31152</t>
  </si>
  <si>
    <t>1908981/A</t>
  </si>
  <si>
    <t>1906</t>
  </si>
  <si>
    <t>685202</t>
  </si>
  <si>
    <t>572308</t>
  </si>
  <si>
    <t>1908989/A</t>
  </si>
  <si>
    <t>26053024</t>
  </si>
  <si>
    <t>26043019</t>
  </si>
  <si>
    <t>1911587/A</t>
  </si>
  <si>
    <t>031B85052</t>
  </si>
  <si>
    <t>1898</t>
  </si>
  <si>
    <t>1029-5-239</t>
  </si>
  <si>
    <t>049B70152</t>
  </si>
  <si>
    <t>1029-5-240</t>
  </si>
  <si>
    <t>1089-1-585</t>
  </si>
  <si>
    <t>1911588/A</t>
  </si>
  <si>
    <t>683802</t>
  </si>
  <si>
    <t>683902</t>
  </si>
  <si>
    <t>050B00152</t>
  </si>
  <si>
    <t>326A53062</t>
  </si>
  <si>
    <t>24050113</t>
  </si>
  <si>
    <t>10028</t>
  </si>
  <si>
    <t>325A93062</t>
  </si>
  <si>
    <t>OS020008</t>
  </si>
  <si>
    <t>OD120015</t>
  </si>
  <si>
    <t>597A89052</t>
  </si>
  <si>
    <t>24090992</t>
  </si>
  <si>
    <t>7702338/A</t>
  </si>
  <si>
    <t>1016-4-3864</t>
  </si>
  <si>
    <t>OS020027</t>
  </si>
  <si>
    <t>1908675/A</t>
  </si>
  <si>
    <t>599A09052</t>
  </si>
  <si>
    <t>3188927</t>
  </si>
  <si>
    <t>23F048</t>
  </si>
  <si>
    <t>318828</t>
  </si>
  <si>
    <t>24060900</t>
  </si>
  <si>
    <t>E1209687</t>
  </si>
  <si>
    <t>7602167/X</t>
  </si>
  <si>
    <t>7702280/A</t>
  </si>
  <si>
    <t>E1209690</t>
  </si>
  <si>
    <t>599A60152</t>
  </si>
  <si>
    <t>1908743/A</t>
  </si>
  <si>
    <t>1496</t>
  </si>
  <si>
    <t>24120043</t>
  </si>
  <si>
    <t>1016-4-3863</t>
  </si>
  <si>
    <t>OS020013</t>
  </si>
  <si>
    <t>1908705/A</t>
  </si>
  <si>
    <t>24040066</t>
  </si>
  <si>
    <t>25010009</t>
  </si>
  <si>
    <t>316625</t>
  </si>
  <si>
    <t>DO36AF001A08A02
1020031</t>
  </si>
  <si>
    <t>7702278/A</t>
  </si>
  <si>
    <t>601A41152</t>
  </si>
  <si>
    <t>I20250122</t>
  </si>
  <si>
    <t>1029-5-238</t>
  </si>
  <si>
    <t>OD120011</t>
  </si>
  <si>
    <t>ST01-CH-22-10417</t>
  </si>
  <si>
    <t>1911579/A</t>
  </si>
  <si>
    <t>25112829</t>
  </si>
  <si>
    <t>1905188/W</t>
  </si>
  <si>
    <t>1911582/A</t>
  </si>
  <si>
    <t>1797</t>
  </si>
  <si>
    <t>572208</t>
  </si>
  <si>
    <t>D029AF001C08A025310007</t>
  </si>
  <si>
    <t>25112826</t>
  </si>
  <si>
    <t>1908666/A</t>
  </si>
  <si>
    <t>311A92152</t>
  </si>
  <si>
    <t>26012896</t>
  </si>
  <si>
    <t>594A17052</t>
  </si>
  <si>
    <t>R004790</t>
  </si>
  <si>
    <t>035B36052</t>
  </si>
  <si>
    <t>1121</t>
  </si>
  <si>
    <t>25102811</t>
  </si>
  <si>
    <t>1908750/A</t>
  </si>
  <si>
    <t>1909194/A</t>
  </si>
  <si>
    <t>559803</t>
  </si>
  <si>
    <t>1029-5-224</t>
  </si>
  <si>
    <t>25010066</t>
  </si>
  <si>
    <t>24040068</t>
  </si>
  <si>
    <t>I20250126</t>
  </si>
  <si>
    <t>1908672/A</t>
  </si>
  <si>
    <t>1905855/X</t>
  </si>
  <si>
    <t>26012899</t>
  </si>
  <si>
    <t>25102805</t>
  </si>
  <si>
    <t>1909212/A</t>
  </si>
  <si>
    <t>OD120027</t>
  </si>
  <si>
    <t>30250394</t>
  </si>
  <si>
    <t>30250391</t>
  </si>
  <si>
    <t>7702286/A</t>
  </si>
  <si>
    <t>1513</t>
  </si>
  <si>
    <t>1908684/A</t>
  </si>
  <si>
    <t>OD120020</t>
  </si>
  <si>
    <t>1016-4-3854</t>
  </si>
  <si>
    <t>7702291/A</t>
  </si>
  <si>
    <t>440811</t>
  </si>
  <si>
    <t>1908689/A</t>
  </si>
  <si>
    <t>819</t>
  </si>
  <si>
    <t>1451</t>
  </si>
  <si>
    <t>312A42152</t>
  </si>
  <si>
    <t>018B92142</t>
  </si>
  <si>
    <t>7702210/Z</t>
  </si>
  <si>
    <t>574805</t>
  </si>
  <si>
    <t>7702281/A</t>
  </si>
  <si>
    <t>25072732</t>
  </si>
  <si>
    <t>1906762/Y</t>
  </si>
  <si>
    <t>25103307</t>
  </si>
  <si>
    <t>1029-5-221</t>
  </si>
  <si>
    <t>1016-4-3845</t>
  </si>
  <si>
    <t>033B35052</t>
  </si>
  <si>
    <t>ST02-CH-24-20480</t>
  </si>
  <si>
    <t>1911455/Z</t>
  </si>
  <si>
    <t>583407</t>
  </si>
  <si>
    <t>7701963/Z</t>
  </si>
  <si>
    <t>ST02-CH-24-20414</t>
  </si>
  <si>
    <t>D029AF001C08A022060018</t>
  </si>
  <si>
    <t>J202507319-01-00001</t>
  </si>
  <si>
    <t>1467</t>
  </si>
  <si>
    <t>1940110/A</t>
  </si>
  <si>
    <t>1908670/A</t>
  </si>
  <si>
    <t>309A72152</t>
  </si>
  <si>
    <t>597A79052</t>
  </si>
  <si>
    <t>1908401/Z</t>
  </si>
  <si>
    <t>24050114</t>
  </si>
  <si>
    <t>25010008</t>
  </si>
  <si>
    <t>309A12152</t>
  </si>
  <si>
    <t>25010068</t>
  </si>
  <si>
    <t>7702229/Z</t>
  </si>
  <si>
    <t>1936038/Z</t>
  </si>
  <si>
    <t>1908679/A</t>
  </si>
  <si>
    <t>OD120018</t>
  </si>
  <si>
    <t>24050115</t>
  </si>
  <si>
    <t>313A01062</t>
  </si>
  <si>
    <t>310A02152</t>
  </si>
  <si>
    <t>313A11062</t>
  </si>
  <si>
    <t>312A02152</t>
  </si>
  <si>
    <t>OD120026</t>
  </si>
  <si>
    <t>1909205/A</t>
  </si>
  <si>
    <t>026B53052</t>
  </si>
  <si>
    <t>1769</t>
  </si>
  <si>
    <t>1908468/Z</t>
  </si>
  <si>
    <t>25010065</t>
  </si>
  <si>
    <t>034B25052</t>
  </si>
  <si>
    <t>1787</t>
  </si>
  <si>
    <t>1908529/Z</t>
  </si>
  <si>
    <t>567906</t>
  </si>
  <si>
    <t>1485</t>
  </si>
  <si>
    <t>1911232/Z</t>
  </si>
  <si>
    <t>1911448/Z</t>
  </si>
  <si>
    <t>1908397/Z</t>
  </si>
  <si>
    <t>441011</t>
  </si>
  <si>
    <t>1911450/Z</t>
  </si>
  <si>
    <t>1016-4-3809</t>
  </si>
  <si>
    <t>567706</t>
  </si>
  <si>
    <t>562903</t>
  </si>
  <si>
    <t>1751</t>
  </si>
  <si>
    <t>OD070044</t>
  </si>
  <si>
    <t>OD070043</t>
  </si>
  <si>
    <t>I20250124</t>
  </si>
  <si>
    <t>1798</t>
  </si>
  <si>
    <t>I20250125</t>
  </si>
  <si>
    <t>1908364/Z</t>
  </si>
  <si>
    <t>030B85052</t>
  </si>
  <si>
    <t>1462</t>
  </si>
  <si>
    <t>1491</t>
  </si>
  <si>
    <t>10007</t>
  </si>
  <si>
    <t>594009</t>
  </si>
  <si>
    <t>1908388/Z</t>
  </si>
  <si>
    <t>1908260/Z</t>
  </si>
  <si>
    <t>OD070005</t>
  </si>
  <si>
    <t>25043159</t>
  </si>
  <si>
    <t>OD070006</t>
  </si>
  <si>
    <t>1908467/Z</t>
  </si>
  <si>
    <t>7700821/w</t>
  </si>
  <si>
    <t>OD070045</t>
  </si>
  <si>
    <t>1908362/Z</t>
  </si>
  <si>
    <t>1774</t>
  </si>
  <si>
    <t>1363</t>
  </si>
  <si>
    <t>567806</t>
  </si>
  <si>
    <t>1459</t>
  </si>
  <si>
    <t>D029AF001C08A022060019</t>
  </si>
  <si>
    <t>1911444/Z</t>
  </si>
  <si>
    <t>I20250121</t>
  </si>
  <si>
    <t>25072728</t>
  </si>
  <si>
    <t>1460</t>
  </si>
  <si>
    <t>1789</t>
  </si>
  <si>
    <t>568106</t>
  </si>
  <si>
    <t>7701970/Z</t>
  </si>
  <si>
    <t>1908116/Z</t>
  </si>
  <si>
    <t>1472</t>
  </si>
  <si>
    <t>1029-5-186</t>
  </si>
  <si>
    <t>594A07052</t>
  </si>
  <si>
    <t>24120058</t>
  </si>
  <si>
    <t>24120059</t>
  </si>
  <si>
    <t>24120056</t>
  </si>
  <si>
    <t>1122</t>
  </si>
  <si>
    <t>597910</t>
  </si>
  <si>
    <t>24050112</t>
  </si>
  <si>
    <t>031B05052</t>
  </si>
  <si>
    <t>1089-1-545</t>
  </si>
  <si>
    <t>587808</t>
  </si>
  <si>
    <t>1479</t>
  </si>
  <si>
    <t>599A30152</t>
  </si>
  <si>
    <t>1908367/Z</t>
  </si>
  <si>
    <t>1911454/Z</t>
  </si>
  <si>
    <t>1911452/Z</t>
  </si>
  <si>
    <t>1911456/Z</t>
  </si>
  <si>
    <t>1908240/Z</t>
  </si>
  <si>
    <t>1911453/Z</t>
  </si>
  <si>
    <t>579A21142</t>
  </si>
  <si>
    <t>25072729</t>
  </si>
  <si>
    <t>1231</t>
  </si>
  <si>
    <t>30230931</t>
  </si>
  <si>
    <t>145705</t>
  </si>
  <si>
    <t>1232</t>
  </si>
  <si>
    <t>595A78052</t>
  </si>
  <si>
    <t>437012</t>
  </si>
  <si>
    <t>1908374/Z</t>
  </si>
  <si>
    <t>od070041</t>
  </si>
  <si>
    <t>1908349/Z</t>
  </si>
  <si>
    <t>7701831/Z</t>
  </si>
  <si>
    <t>567506</t>
  </si>
  <si>
    <t>1908361/Z</t>
  </si>
  <si>
    <t>035B86052</t>
  </si>
  <si>
    <t>587708</t>
  </si>
  <si>
    <t>1788</t>
  </si>
  <si>
    <t>567606</t>
  </si>
  <si>
    <t>7701971/Z</t>
  </si>
  <si>
    <t>1494</t>
  </si>
  <si>
    <t>7701823/Z</t>
  </si>
  <si>
    <t>1477</t>
  </si>
  <si>
    <t>026B73052</t>
  </si>
  <si>
    <t>407203</t>
  </si>
  <si>
    <t>423106</t>
  </si>
  <si>
    <t>514105</t>
  </si>
  <si>
    <t>7701972/Z</t>
  </si>
  <si>
    <t>1475</t>
  </si>
  <si>
    <t>1089-1-544</t>
  </si>
  <si>
    <t>1482</t>
  </si>
  <si>
    <t>1469</t>
  </si>
  <si>
    <t>7701835/Z</t>
  </si>
  <si>
    <t>OD070011</t>
  </si>
  <si>
    <t>015B31142</t>
  </si>
  <si>
    <t>589008</t>
  </si>
  <si>
    <t>1473</t>
  </si>
  <si>
    <t>25062651</t>
  </si>
  <si>
    <t>1773</t>
  </si>
  <si>
    <t>53256</t>
  </si>
  <si>
    <t>561703</t>
  </si>
  <si>
    <t>1759</t>
  </si>
  <si>
    <t>559903</t>
  </si>
  <si>
    <t>9940</t>
  </si>
  <si>
    <t>SO-1493</t>
  </si>
  <si>
    <t>10161952</t>
  </si>
  <si>
    <t>580000112</t>
  </si>
  <si>
    <t>SO-0127</t>
  </si>
  <si>
    <t>E1209688</t>
  </si>
  <si>
    <t>1770</t>
  </si>
  <si>
    <t>ST02-CH-23-20330</t>
  </si>
  <si>
    <t>560103</t>
  </si>
  <si>
    <t>OD070004</t>
  </si>
  <si>
    <t>1911353/Z</t>
  </si>
  <si>
    <t>25042620</t>
  </si>
  <si>
    <t>OD070003</t>
  </si>
  <si>
    <t>1089-1-536</t>
  </si>
  <si>
    <t>026B33052</t>
  </si>
  <si>
    <t>1089-1-533</t>
  </si>
  <si>
    <t>1089-1-537</t>
  </si>
  <si>
    <t>OD070012</t>
  </si>
  <si>
    <t>25042615</t>
  </si>
  <si>
    <t>24092351</t>
  </si>
  <si>
    <t>OD060036</t>
  </si>
  <si>
    <t>1911349/Z</t>
  </si>
  <si>
    <t>1911340/Z</t>
  </si>
  <si>
    <t>23F181</t>
  </si>
  <si>
    <t>1016-4-3780</t>
  </si>
  <si>
    <t>1029-5-158</t>
  </si>
  <si>
    <t>574705</t>
  </si>
  <si>
    <t>24052238</t>
  </si>
  <si>
    <t>1465</t>
  </si>
  <si>
    <t>1089-1-534</t>
  </si>
  <si>
    <t>1911347/Z</t>
  </si>
  <si>
    <t>438709</t>
  </si>
  <si>
    <t>24125326</t>
  </si>
  <si>
    <t>25010067</t>
  </si>
  <si>
    <t>578A91142</t>
  </si>
  <si>
    <t>7602165/X</t>
  </si>
  <si>
    <t>25042616</t>
  </si>
  <si>
    <t>9869</t>
  </si>
  <si>
    <t>1750</t>
  </si>
  <si>
    <t>I20240039</t>
  </si>
  <si>
    <t>574305</t>
  </si>
  <si>
    <t>1908130/Z</t>
  </si>
  <si>
    <t>027B33052</t>
  </si>
  <si>
    <t>417604</t>
  </si>
  <si>
    <t>574105</t>
  </si>
  <si>
    <t>1908118/Z</t>
  </si>
  <si>
    <t>7651460/Y</t>
  </si>
  <si>
    <t>1908136/Z</t>
  </si>
  <si>
    <t>OD050014</t>
  </si>
  <si>
    <t>7701832/Z</t>
  </si>
  <si>
    <t>OD050010</t>
  </si>
  <si>
    <t>1908129/Z</t>
  </si>
  <si>
    <t>1755</t>
  </si>
  <si>
    <t>555701</t>
  </si>
  <si>
    <t>I20240037</t>
  </si>
  <si>
    <t>OD050018</t>
  </si>
  <si>
    <t>1906752/Y</t>
  </si>
  <si>
    <t>1486</t>
  </si>
  <si>
    <t>7701820/Z</t>
  </si>
  <si>
    <t>OD050013</t>
  </si>
  <si>
    <t>1907350/Z</t>
  </si>
  <si>
    <t>OD05006</t>
  </si>
  <si>
    <t>9950</t>
  </si>
  <si>
    <t>OD050017</t>
  </si>
  <si>
    <t>411203</t>
  </si>
  <si>
    <t>1016-2-262</t>
  </si>
  <si>
    <t>1089-1-504</t>
  </si>
  <si>
    <t>597A69052</t>
  </si>
  <si>
    <t>1771</t>
  </si>
  <si>
    <t>1908055/Z</t>
  </si>
  <si>
    <t>1908095/Z</t>
  </si>
  <si>
    <t>9937</t>
  </si>
  <si>
    <t>1757</t>
  </si>
  <si>
    <t>316723</t>
  </si>
  <si>
    <t>1911249/Z</t>
  </si>
  <si>
    <t>557201</t>
  </si>
  <si>
    <t>556201</t>
  </si>
  <si>
    <t>1756</t>
  </si>
  <si>
    <t>431307</t>
  </si>
  <si>
    <t>23050117</t>
  </si>
  <si>
    <t>9959</t>
  </si>
  <si>
    <t>568004</t>
  </si>
  <si>
    <t>028B74052</t>
  </si>
  <si>
    <t>567804</t>
  </si>
  <si>
    <t>1776</t>
  </si>
  <si>
    <t>1754</t>
  </si>
  <si>
    <t>564103</t>
  </si>
  <si>
    <t>567904</t>
  </si>
  <si>
    <t>1907345/Z</t>
  </si>
  <si>
    <t>I20240186</t>
  </si>
  <si>
    <t>1907400/Z</t>
  </si>
  <si>
    <t>7701834/Z</t>
  </si>
  <si>
    <t>556801</t>
  </si>
  <si>
    <t>67721237WS</t>
  </si>
  <si>
    <t>1368</t>
  </si>
  <si>
    <t>438409</t>
  </si>
  <si>
    <t>24092344</t>
  </si>
  <si>
    <t>I20230187</t>
  </si>
  <si>
    <t>24122457</t>
  </si>
  <si>
    <t>1907362/Z</t>
  </si>
  <si>
    <t>24102363</t>
  </si>
  <si>
    <t>1907354/Z</t>
  </si>
  <si>
    <t>24050719</t>
  </si>
  <si>
    <t>OD020034</t>
  </si>
  <si>
    <t>1661</t>
  </si>
  <si>
    <t>1911225</t>
  </si>
  <si>
    <t>OD020014</t>
  </si>
  <si>
    <t>1907358/Z</t>
  </si>
  <si>
    <t>7701830/Z</t>
  </si>
  <si>
    <t>431207</t>
  </si>
  <si>
    <t>D029AF001C08A021390020</t>
  </si>
  <si>
    <t>I20240041</t>
  </si>
  <si>
    <t>436008</t>
  </si>
  <si>
    <t>557101</t>
  </si>
  <si>
    <t>1907399/Z</t>
  </si>
  <si>
    <t>556301</t>
  </si>
  <si>
    <t>1911348/Z</t>
  </si>
  <si>
    <t>24122443</t>
  </si>
  <si>
    <t>495506</t>
  </si>
  <si>
    <t>OD020036</t>
  </si>
  <si>
    <t>OR08001</t>
  </si>
  <si>
    <t>974</t>
  </si>
  <si>
    <t>OD020017</t>
  </si>
  <si>
    <t>24070757</t>
  </si>
  <si>
    <t>D029AF001C08A021400001</t>
  </si>
  <si>
    <t>1907344/Z</t>
  </si>
  <si>
    <t>555601</t>
  </si>
  <si>
    <t>I20240040</t>
  </si>
  <si>
    <t>7701818/Z</t>
  </si>
  <si>
    <t>OD020033</t>
  </si>
  <si>
    <t>555401</t>
  </si>
  <si>
    <t>556601</t>
  </si>
  <si>
    <t>24070760</t>
  </si>
  <si>
    <t>0D020013</t>
  </si>
  <si>
    <t>OD020010</t>
  </si>
  <si>
    <t>OD020016</t>
  </si>
  <si>
    <t>OD020009</t>
  </si>
  <si>
    <t>1907389/Z</t>
  </si>
  <si>
    <t>555301</t>
  </si>
  <si>
    <t>555501</t>
  </si>
  <si>
    <t>I20240029</t>
  </si>
  <si>
    <t>OD020052</t>
  </si>
  <si>
    <t>1905895/X</t>
  </si>
  <si>
    <t>OD020012</t>
  </si>
  <si>
    <t>OD020011</t>
  </si>
  <si>
    <t>7701824/Z</t>
  </si>
  <si>
    <t>596A28052</t>
  </si>
  <si>
    <t>1911246/Z</t>
  </si>
  <si>
    <t>512A40132</t>
  </si>
  <si>
    <t>556501</t>
  </si>
  <si>
    <t>1911240/Z</t>
  </si>
  <si>
    <t>555801</t>
  </si>
  <si>
    <t>1906038/X</t>
  </si>
  <si>
    <t>1907361/Z</t>
  </si>
  <si>
    <t>D029AF001C08A021390018</t>
  </si>
  <si>
    <t>1907368/Z</t>
  </si>
  <si>
    <t>7701819/Z</t>
  </si>
  <si>
    <t>24050871</t>
  </si>
  <si>
    <t>557001</t>
  </si>
  <si>
    <t>1906997/Y</t>
  </si>
  <si>
    <t>ST02-CH-23-20240</t>
  </si>
  <si>
    <t>443207</t>
  </si>
  <si>
    <t>555101</t>
  </si>
  <si>
    <t>1906983/Y</t>
  </si>
  <si>
    <t>1907384/Z</t>
  </si>
  <si>
    <t>24092347</t>
  </si>
  <si>
    <t>406302</t>
  </si>
  <si>
    <t>1907366/Z</t>
  </si>
  <si>
    <t>D029AF001C08A021420003</t>
  </si>
  <si>
    <t>28740223WS</t>
  </si>
  <si>
    <t>540A93042</t>
  </si>
  <si>
    <t>1905928/X</t>
  </si>
  <si>
    <t>422005</t>
  </si>
  <si>
    <t>1911250/Z</t>
  </si>
  <si>
    <t>1911222/Z</t>
  </si>
  <si>
    <t>24102362</t>
  </si>
  <si>
    <t>1911231/Z</t>
  </si>
  <si>
    <t>015B01142</t>
  </si>
  <si>
    <t>1907334/Z</t>
  </si>
  <si>
    <t>1907340/Z</t>
  </si>
  <si>
    <t>1907335/Z</t>
  </si>
  <si>
    <t>013B39042</t>
  </si>
  <si>
    <t>1907339/Z</t>
  </si>
  <si>
    <t>OR100017</t>
  </si>
  <si>
    <t>1911219/Z</t>
  </si>
  <si>
    <t>7701672/Y</t>
  </si>
  <si>
    <t>1907353/Z</t>
  </si>
  <si>
    <t>OR110025</t>
  </si>
  <si>
    <t>24120055</t>
  </si>
  <si>
    <t>24092341</t>
  </si>
  <si>
    <t>I20230178</t>
  </si>
  <si>
    <t>1907349/Z</t>
  </si>
  <si>
    <t>23080524</t>
  </si>
  <si>
    <t>400501</t>
  </si>
  <si>
    <t>24092340</t>
  </si>
  <si>
    <t>406002</t>
  </si>
  <si>
    <t>I20240181</t>
  </si>
  <si>
    <t>24102365</t>
  </si>
  <si>
    <t>448709</t>
  </si>
  <si>
    <t>23040377</t>
  </si>
  <si>
    <t>24040835</t>
  </si>
  <si>
    <t>S-MD-01</t>
  </si>
  <si>
    <t>280000752</t>
  </si>
  <si>
    <t>Manu12</t>
  </si>
  <si>
    <t>Manu11</t>
  </si>
  <si>
    <t>Manu16</t>
  </si>
  <si>
    <t>Manu10</t>
  </si>
  <si>
    <t>Manu2</t>
  </si>
  <si>
    <t>Manu5</t>
  </si>
  <si>
    <t>Manu8</t>
  </si>
  <si>
    <t>Manu9</t>
  </si>
  <si>
    <t>Manu6</t>
  </si>
  <si>
    <t>1906902/Y</t>
  </si>
  <si>
    <t>Manu13</t>
  </si>
  <si>
    <t>443407</t>
  </si>
  <si>
    <t>27000237WS</t>
  </si>
  <si>
    <t>ST02-CH-23-20247</t>
  </si>
  <si>
    <t>1907159/Y</t>
  </si>
  <si>
    <t>547A24042</t>
  </si>
  <si>
    <t>1906990/Y</t>
  </si>
  <si>
    <t>016B61142</t>
  </si>
  <si>
    <t>007B15042</t>
  </si>
  <si>
    <t>1655</t>
  </si>
  <si>
    <t>443707</t>
  </si>
  <si>
    <t>377909</t>
  </si>
  <si>
    <t>1029-2-402</t>
  </si>
  <si>
    <t>24060724</t>
  </si>
  <si>
    <t>411103</t>
  </si>
  <si>
    <t>24010632</t>
  </si>
  <si>
    <t>I20230176</t>
  </si>
  <si>
    <t>24052259</t>
  </si>
  <si>
    <t>OR100014</t>
  </si>
  <si>
    <t>OR100012</t>
  </si>
  <si>
    <t>012B18042</t>
  </si>
  <si>
    <t>1907165/Y</t>
  </si>
  <si>
    <t>411603</t>
  </si>
  <si>
    <t>1907168/Y</t>
  </si>
  <si>
    <t>396612</t>
  </si>
  <si>
    <t>OR090034</t>
  </si>
  <si>
    <t>1906979/Y</t>
  </si>
  <si>
    <t>7701555/Y</t>
  </si>
  <si>
    <t>23101971</t>
  </si>
  <si>
    <t>006B95042</t>
  </si>
  <si>
    <t>896</t>
  </si>
  <si>
    <t>006B75042</t>
  </si>
  <si>
    <t>1287</t>
  </si>
  <si>
    <t>1911119/Y</t>
  </si>
  <si>
    <t>410903</t>
  </si>
  <si>
    <t>1656</t>
  </si>
  <si>
    <t>443907</t>
  </si>
  <si>
    <t>OR070019</t>
  </si>
  <si>
    <t>I20230066</t>
  </si>
  <si>
    <t>444007</t>
  </si>
  <si>
    <t>436508</t>
  </si>
  <si>
    <t>7701674/Y</t>
  </si>
  <si>
    <t>1659</t>
  </si>
  <si>
    <t>443607</t>
  </si>
  <si>
    <t>1911116/Y</t>
  </si>
  <si>
    <t>1911117/Y</t>
  </si>
  <si>
    <t>24060898</t>
  </si>
  <si>
    <t>OR070013</t>
  </si>
  <si>
    <t>551A65042</t>
  </si>
  <si>
    <t>1906906/Y</t>
  </si>
  <si>
    <t>24052257</t>
  </si>
  <si>
    <t>7701550/Y</t>
  </si>
  <si>
    <t>1625</t>
  </si>
  <si>
    <t>OR070017</t>
  </si>
  <si>
    <t>007B25042</t>
  </si>
  <si>
    <t>551A85042</t>
  </si>
  <si>
    <t>400801</t>
  </si>
  <si>
    <t>24052258</t>
  </si>
  <si>
    <t>1906989/Y</t>
  </si>
  <si>
    <t>23100141</t>
  </si>
  <si>
    <t>1906996/Y</t>
  </si>
  <si>
    <t>OR070041</t>
  </si>
  <si>
    <t>443107</t>
  </si>
  <si>
    <t>1029-2-401</t>
  </si>
  <si>
    <t>24070004</t>
  </si>
  <si>
    <t>1906995/Y</t>
  </si>
  <si>
    <t>0R070039</t>
  </si>
  <si>
    <t>444107</t>
  </si>
  <si>
    <t>1906911/Y</t>
  </si>
  <si>
    <t>24022132</t>
  </si>
  <si>
    <t>440206</t>
  </si>
  <si>
    <t>66181868WS</t>
  </si>
  <si>
    <t>9845</t>
  </si>
  <si>
    <t>1016-4-3656</t>
  </si>
  <si>
    <t>005B34042</t>
  </si>
  <si>
    <t>7701545</t>
  </si>
  <si>
    <t>1906704/Y</t>
  </si>
  <si>
    <t>OR020043</t>
  </si>
  <si>
    <t>24022131</t>
  </si>
  <si>
    <t>1906885/Y</t>
  </si>
  <si>
    <t>405702</t>
  </si>
  <si>
    <t>1910997/Y</t>
  </si>
  <si>
    <t>1016-4-3629</t>
  </si>
  <si>
    <t>7701553/Y</t>
  </si>
  <si>
    <t>550A05042</t>
  </si>
  <si>
    <t>23100140</t>
  </si>
  <si>
    <t>9828</t>
  </si>
  <si>
    <t>1029-2-385</t>
  </si>
  <si>
    <t>431704</t>
  </si>
  <si>
    <t>6607</t>
  </si>
  <si>
    <t>24042211</t>
  </si>
  <si>
    <t>1910981</t>
  </si>
  <si>
    <t>1906903/Y</t>
  </si>
  <si>
    <t>I20240038</t>
  </si>
  <si>
    <t>550A95042</t>
  </si>
  <si>
    <t>24022121</t>
  </si>
  <si>
    <t>OR050033</t>
  </si>
  <si>
    <t>431404</t>
  </si>
  <si>
    <t>552A05042</t>
  </si>
  <si>
    <t>1906890/Y</t>
  </si>
  <si>
    <t>397912</t>
  </si>
  <si>
    <t>OR050039</t>
  </si>
  <si>
    <t>551A35042</t>
  </si>
  <si>
    <t>1906768/Y</t>
  </si>
  <si>
    <t>7701556/Y</t>
  </si>
  <si>
    <t>552A65042</t>
  </si>
  <si>
    <t>398012</t>
  </si>
  <si>
    <t>1906759/Y</t>
  </si>
  <si>
    <t>544A34042</t>
  </si>
  <si>
    <t>1910995/Y</t>
  </si>
  <si>
    <t>1362</t>
  </si>
  <si>
    <t>1910812/X</t>
  </si>
  <si>
    <t>OR050037</t>
  </si>
  <si>
    <t>OR020002</t>
  </si>
  <si>
    <t>1910969/Y</t>
  </si>
  <si>
    <t>7701430/Y</t>
  </si>
  <si>
    <t>DO29AF001C08A019050017</t>
  </si>
  <si>
    <t>24040833</t>
  </si>
  <si>
    <t>UV6697</t>
  </si>
  <si>
    <t>1906745/Y</t>
  </si>
  <si>
    <t>OR050034</t>
  </si>
  <si>
    <t>1617</t>
  </si>
  <si>
    <t>OR050032</t>
  </si>
  <si>
    <t>1910966</t>
  </si>
  <si>
    <t>24022136</t>
  </si>
  <si>
    <t>436005</t>
  </si>
  <si>
    <t>544A44042</t>
  </si>
  <si>
    <t>24022139</t>
  </si>
  <si>
    <t>1906744/Y</t>
  </si>
  <si>
    <t>OT050072</t>
  </si>
  <si>
    <t>436105</t>
  </si>
  <si>
    <t>506A99032</t>
  </si>
  <si>
    <t>24040832</t>
  </si>
  <si>
    <t>OT060048</t>
  </si>
  <si>
    <t>OR010033</t>
  </si>
  <si>
    <t>OT020026</t>
  </si>
  <si>
    <t>1910963/Y</t>
  </si>
  <si>
    <t>541A43042</t>
  </si>
  <si>
    <t>541A33042</t>
  </si>
  <si>
    <t>420102</t>
  </si>
  <si>
    <t>1618</t>
  </si>
  <si>
    <t>419702</t>
  </si>
  <si>
    <t>24022126</t>
  </si>
  <si>
    <t>ST02-CH-23-20260</t>
  </si>
  <si>
    <t>I20230052</t>
  </si>
  <si>
    <t>7701429/Y</t>
  </si>
  <si>
    <t>242503</t>
  </si>
  <si>
    <t>23050115</t>
  </si>
  <si>
    <t>973</t>
  </si>
  <si>
    <t>24022123</t>
  </si>
  <si>
    <t>419902</t>
  </si>
  <si>
    <t>1910961/Y</t>
  </si>
  <si>
    <t>7701443/Y</t>
  </si>
  <si>
    <t>1906699/Y</t>
  </si>
  <si>
    <t>7701442/Y</t>
  </si>
  <si>
    <t>388910</t>
  </si>
  <si>
    <t>1623</t>
  </si>
  <si>
    <t>1626</t>
  </si>
  <si>
    <t>2624</t>
  </si>
  <si>
    <t>1619</t>
  </si>
  <si>
    <t>1905731/W</t>
  </si>
  <si>
    <t>1608</t>
  </si>
  <si>
    <t>7651462/Y</t>
  </si>
  <si>
    <t>27166</t>
  </si>
  <si>
    <t>1906707/Y</t>
  </si>
  <si>
    <t>24022118</t>
  </si>
  <si>
    <t>1029-2-348</t>
  </si>
  <si>
    <t>K7EL02F</t>
  </si>
  <si>
    <t>1907329/Z</t>
  </si>
  <si>
    <t>ST02-CH-23-20167</t>
  </si>
  <si>
    <t>381909</t>
  </si>
  <si>
    <t>23050116</t>
  </si>
  <si>
    <t>1906626/Y</t>
  </si>
  <si>
    <t>9807</t>
  </si>
  <si>
    <t>24024465</t>
  </si>
  <si>
    <t>I20230065</t>
  </si>
  <si>
    <t>373107</t>
  </si>
  <si>
    <t>D036AF001A08A022080002</t>
  </si>
  <si>
    <t>528A32132</t>
  </si>
  <si>
    <t>7701435/Y</t>
  </si>
  <si>
    <t>413503</t>
  </si>
  <si>
    <t>522A91132</t>
  </si>
  <si>
    <t>24010627</t>
  </si>
  <si>
    <t>ST02-CH-23-20162</t>
  </si>
  <si>
    <t>24012064</t>
  </si>
  <si>
    <t>529A21042</t>
  </si>
  <si>
    <t>7700269/T</t>
  </si>
  <si>
    <t>D029AF001C08A018200005</t>
  </si>
  <si>
    <t>9808</t>
  </si>
  <si>
    <t>OR010041</t>
  </si>
  <si>
    <t>1906630/Y</t>
  </si>
  <si>
    <t>1906623/Y</t>
  </si>
  <si>
    <t>1906495/X</t>
  </si>
  <si>
    <t>ST02-CH-23-20125</t>
  </si>
  <si>
    <t>24012065</t>
  </si>
  <si>
    <t>1910918/Y</t>
  </si>
  <si>
    <t>1910923/Y</t>
  </si>
  <si>
    <t>ST02-CH-23-20142</t>
  </si>
  <si>
    <t>1016-4-3584</t>
  </si>
  <si>
    <t>1910926/Y</t>
  </si>
  <si>
    <t>1910925/Y</t>
  </si>
  <si>
    <t>1029-2-352</t>
  </si>
  <si>
    <t>ST02-CH-22-70751</t>
  </si>
  <si>
    <t>1910827/X</t>
  </si>
  <si>
    <t>ST02-CH-23-20331</t>
  </si>
  <si>
    <t>399910</t>
  </si>
  <si>
    <t>309912</t>
  </si>
  <si>
    <t>1016-4-3585</t>
  </si>
  <si>
    <t>24012059</t>
  </si>
  <si>
    <t>24012067</t>
  </si>
  <si>
    <t>1029-2-346</t>
  </si>
  <si>
    <t>I20220074</t>
  </si>
  <si>
    <t>ST02-CH-22-70717</t>
  </si>
  <si>
    <t>309712</t>
  </si>
  <si>
    <t>24010630</t>
  </si>
  <si>
    <t>9784</t>
  </si>
  <si>
    <t>24010631</t>
  </si>
  <si>
    <t>24010628</t>
  </si>
  <si>
    <t>382409</t>
  </si>
  <si>
    <t>9782</t>
  </si>
  <si>
    <t>1029-2-272</t>
  </si>
  <si>
    <t>24012061</t>
  </si>
  <si>
    <t>1016-4-3571</t>
  </si>
  <si>
    <t>ST02-CH-23-20179</t>
  </si>
  <si>
    <t>1016-4-3564</t>
  </si>
  <si>
    <t>1029-2-298</t>
  </si>
  <si>
    <t>1910813/X</t>
  </si>
  <si>
    <t>OT090029</t>
  </si>
  <si>
    <t>OT090032</t>
  </si>
  <si>
    <t>OR090040</t>
  </si>
  <si>
    <t>523A31132</t>
  </si>
  <si>
    <t>360605</t>
  </si>
  <si>
    <t>23101969</t>
  </si>
  <si>
    <t>379909</t>
  </si>
  <si>
    <t>1906482/X</t>
  </si>
  <si>
    <t>375408</t>
  </si>
  <si>
    <t>7651258</t>
  </si>
  <si>
    <t>300210</t>
  </si>
  <si>
    <t>ST02-CH-22-80465</t>
  </si>
  <si>
    <t>516A10132</t>
  </si>
  <si>
    <t>9670</t>
  </si>
  <si>
    <t>1016-4-3565</t>
  </si>
  <si>
    <t>1029-2-297</t>
  </si>
  <si>
    <t>7701223/X</t>
  </si>
  <si>
    <t>522A61132</t>
  </si>
  <si>
    <t>23101967</t>
  </si>
  <si>
    <t>1029-2-304</t>
  </si>
  <si>
    <t>23101968</t>
  </si>
  <si>
    <t>1910809/X</t>
  </si>
  <si>
    <t>1906462/X</t>
  </si>
  <si>
    <t>30230914</t>
  </si>
  <si>
    <t>30230912</t>
  </si>
  <si>
    <t>23101962</t>
  </si>
  <si>
    <t>1906460/X</t>
  </si>
  <si>
    <t>23101963</t>
  </si>
  <si>
    <t>1906448/X</t>
  </si>
  <si>
    <t>ST02-CH-23-20335</t>
  </si>
  <si>
    <t>1906433/X</t>
  </si>
  <si>
    <t>1906454/X</t>
  </si>
  <si>
    <t>OT08002</t>
  </si>
  <si>
    <t>D029AF001C08A0221120036</t>
  </si>
  <si>
    <t>367706</t>
  </si>
  <si>
    <t>1910808/X</t>
  </si>
  <si>
    <t>9741</t>
  </si>
  <si>
    <t>342110</t>
  </si>
  <si>
    <t>1910798/X</t>
  </si>
  <si>
    <t>1910828/X</t>
  </si>
  <si>
    <t>1910824/X</t>
  </si>
  <si>
    <t>9713</t>
  </si>
  <si>
    <t>301211</t>
  </si>
  <si>
    <t>1906388/X</t>
  </si>
  <si>
    <t>1910830/X</t>
  </si>
  <si>
    <t>1910822/X</t>
  </si>
  <si>
    <t>377509</t>
  </si>
  <si>
    <t>D029AF001C08A019380041</t>
  </si>
  <si>
    <t>510A69032</t>
  </si>
  <si>
    <t>1910820/X</t>
  </si>
  <si>
    <t>317009</t>
  </si>
  <si>
    <t>1910799/X</t>
  </si>
  <si>
    <t>511A39032</t>
  </si>
  <si>
    <t>509A19032</t>
  </si>
  <si>
    <t>62751939WS</t>
  </si>
  <si>
    <t>23071852</t>
  </si>
  <si>
    <t>373007</t>
  </si>
  <si>
    <t>62751938WS</t>
  </si>
  <si>
    <t>375208</t>
  </si>
  <si>
    <t>510A39032</t>
  </si>
  <si>
    <t>62751937WS</t>
  </si>
  <si>
    <t>ST02-CH-22-70229</t>
  </si>
  <si>
    <t>D029AF001C08A019380044</t>
  </si>
  <si>
    <t>23081872</t>
  </si>
  <si>
    <t>D029AF001C08A019380042</t>
  </si>
  <si>
    <t>395210</t>
  </si>
  <si>
    <t>D029AF001C08A021150007</t>
  </si>
  <si>
    <t>120230059</t>
  </si>
  <si>
    <t>23081868</t>
  </si>
  <si>
    <t>23081871</t>
  </si>
  <si>
    <t>ST02-CH-23-20278</t>
  </si>
  <si>
    <t>1029-2-307</t>
  </si>
  <si>
    <t>1910702/X</t>
  </si>
  <si>
    <t>23081870</t>
  </si>
  <si>
    <t>I20210135</t>
  </si>
  <si>
    <t>507A19032</t>
  </si>
  <si>
    <t>23030221</t>
  </si>
  <si>
    <t>ST01-CH-22-10429</t>
  </si>
  <si>
    <t>1910698/X</t>
  </si>
  <si>
    <t>1029-2-287</t>
  </si>
  <si>
    <t>23041691</t>
  </si>
  <si>
    <t>OT050068</t>
  </si>
  <si>
    <t>1025-4-3255</t>
  </si>
  <si>
    <t>1016-4-3494</t>
  </si>
  <si>
    <t>1906142/X</t>
  </si>
  <si>
    <t>8272</t>
  </si>
  <si>
    <t>1029-2-253</t>
  </si>
  <si>
    <t>1016-4-3508</t>
  </si>
  <si>
    <t>1910679/X</t>
  </si>
  <si>
    <t>I20220103</t>
  </si>
  <si>
    <t>9544</t>
  </si>
  <si>
    <t>357405</t>
  </si>
  <si>
    <t>1016-2-534</t>
  </si>
  <si>
    <t>1029-1-435</t>
  </si>
  <si>
    <t>1910682/X</t>
  </si>
  <si>
    <t>1910689/X</t>
  </si>
  <si>
    <t>ST02-CH-22-70655</t>
  </si>
  <si>
    <t>381108</t>
  </si>
  <si>
    <t>7651256/X</t>
  </si>
  <si>
    <t>1905704/W</t>
  </si>
  <si>
    <t>1910680/X</t>
  </si>
  <si>
    <t>1910696/X</t>
  </si>
  <si>
    <t>502A18032</t>
  </si>
  <si>
    <t>1025-1-352</t>
  </si>
  <si>
    <t>1910687/X</t>
  </si>
  <si>
    <t>1906159/X</t>
  </si>
  <si>
    <t>380608</t>
  </si>
  <si>
    <t>502A28032</t>
  </si>
  <si>
    <t>1910673/X</t>
  </si>
  <si>
    <t>380908</t>
  </si>
  <si>
    <t>1910694/X</t>
  </si>
  <si>
    <t>0041-0199</t>
  </si>
  <si>
    <t>23071856</t>
  </si>
  <si>
    <t>1910701/X</t>
  </si>
  <si>
    <t>1910681/X</t>
  </si>
  <si>
    <t>OT060038</t>
  </si>
  <si>
    <t>7701219/X</t>
  </si>
  <si>
    <t>1910695/X</t>
  </si>
  <si>
    <t>1910697/X</t>
  </si>
  <si>
    <t>ST02-CH-22-70572</t>
  </si>
  <si>
    <t>OT060039</t>
  </si>
  <si>
    <t>1016-2-327</t>
  </si>
  <si>
    <t>1029-1-1152</t>
  </si>
  <si>
    <t>1021-1-1060</t>
  </si>
  <si>
    <t>1016-2-328</t>
  </si>
  <si>
    <t>23071831</t>
  </si>
  <si>
    <t>1910703/X</t>
  </si>
  <si>
    <t>OT060041</t>
  </si>
  <si>
    <t>7701224/X</t>
  </si>
  <si>
    <t>D029AF001C08A019380036</t>
  </si>
  <si>
    <t>1910685/X</t>
  </si>
  <si>
    <t>OT060044</t>
  </si>
  <si>
    <t>1906169/X</t>
  </si>
  <si>
    <t>1016-4-3503</t>
  </si>
  <si>
    <t>23071833</t>
  </si>
  <si>
    <t>1021-1-1079</t>
  </si>
  <si>
    <t>1029-2-306</t>
  </si>
  <si>
    <t>497A47032</t>
  </si>
  <si>
    <t>35560960WS</t>
  </si>
  <si>
    <t>1910693/X</t>
  </si>
  <si>
    <t>317907</t>
  </si>
  <si>
    <t>1910671/X</t>
  </si>
  <si>
    <t>1906141/X</t>
  </si>
  <si>
    <t>1906145/X</t>
  </si>
  <si>
    <t>1910613/X</t>
  </si>
  <si>
    <t>1910688/X</t>
  </si>
  <si>
    <t>1906103/X</t>
  </si>
  <si>
    <t>495A67032</t>
  </si>
  <si>
    <t>1910622/X</t>
  </si>
  <si>
    <t>ST02-CH-22-80463</t>
  </si>
  <si>
    <t>OT060043</t>
  </si>
  <si>
    <t>ST02-CH-22-80469</t>
  </si>
  <si>
    <t>OT060040</t>
  </si>
  <si>
    <t>347003</t>
  </si>
  <si>
    <t>481A34032</t>
  </si>
  <si>
    <t>ST02-CH-22-70747</t>
  </si>
  <si>
    <t>ST02-CH-22-70719</t>
  </si>
  <si>
    <t>1910623/X</t>
  </si>
  <si>
    <t>1905868/X</t>
  </si>
  <si>
    <t>1906017/X</t>
  </si>
  <si>
    <t>7701015/W</t>
  </si>
  <si>
    <t>OT030092</t>
  </si>
  <si>
    <t>OT030088</t>
  </si>
  <si>
    <t>490A16032</t>
  </si>
  <si>
    <t>23041687</t>
  </si>
  <si>
    <t>395401</t>
  </si>
  <si>
    <t>ST02-CH-22-70520</t>
  </si>
  <si>
    <t>ST02-CH-22-70669</t>
  </si>
  <si>
    <t>23031674</t>
  </si>
  <si>
    <t>1906005/X</t>
  </si>
  <si>
    <t>1906432/X</t>
  </si>
  <si>
    <t>1906018/X</t>
  </si>
  <si>
    <t>357005</t>
  </si>
  <si>
    <t>342802</t>
  </si>
  <si>
    <t>OT030084</t>
  </si>
  <si>
    <t>1029-2-257</t>
  </si>
  <si>
    <t>1016-4-3440</t>
  </si>
  <si>
    <t>7701080/W</t>
  </si>
  <si>
    <t>1905931/X</t>
  </si>
  <si>
    <t>1910595/X</t>
  </si>
  <si>
    <t>ST02-PL-21-80276</t>
  </si>
  <si>
    <t>3207391</t>
  </si>
  <si>
    <t>247209</t>
  </si>
  <si>
    <t>1910599/X</t>
  </si>
  <si>
    <t>1910594/X</t>
  </si>
  <si>
    <t>217912</t>
  </si>
  <si>
    <t>1910538/X</t>
  </si>
  <si>
    <t>1905828/X</t>
  </si>
  <si>
    <t>346003</t>
  </si>
  <si>
    <t>7600569/S</t>
  </si>
  <si>
    <t>OO010086</t>
  </si>
  <si>
    <t>ST02-CH-22-70681</t>
  </si>
  <si>
    <t>ST02-CH-22-70083</t>
  </si>
  <si>
    <t>3207390</t>
  </si>
  <si>
    <t>23031661</t>
  </si>
  <si>
    <t>OT020025</t>
  </si>
  <si>
    <t>7700956/W</t>
  </si>
  <si>
    <t>23020180</t>
  </si>
  <si>
    <t>247409</t>
  </si>
  <si>
    <t>D029AF001C08A021120033</t>
  </si>
  <si>
    <t>23031658</t>
  </si>
  <si>
    <t>1910539/X</t>
  </si>
  <si>
    <t>214407</t>
  </si>
  <si>
    <t>D029AF001C08A019090008</t>
  </si>
  <si>
    <t>1905915/X</t>
  </si>
  <si>
    <t>344202</t>
  </si>
  <si>
    <t>OT010007</t>
  </si>
  <si>
    <t>I20220071</t>
  </si>
  <si>
    <t>1910537/X</t>
  </si>
  <si>
    <t>D029AF001C08A019050016</t>
  </si>
  <si>
    <t>7700823/W</t>
  </si>
  <si>
    <t>1905894/X</t>
  </si>
  <si>
    <t>1016-4-3371</t>
  </si>
  <si>
    <t>I20220072</t>
  </si>
  <si>
    <t>1029-2-197</t>
  </si>
  <si>
    <t>23011576</t>
  </si>
  <si>
    <t>ST02-CH-22-70650</t>
  </si>
  <si>
    <t>ST02-CH-22-70645</t>
  </si>
  <si>
    <t>OT010008</t>
  </si>
  <si>
    <t>1905829/X</t>
  </si>
  <si>
    <t>OT010010</t>
  </si>
  <si>
    <t>ST02-CH-22-70642</t>
  </si>
  <si>
    <t>ST02-CH-22-70683</t>
  </si>
  <si>
    <t>I20210130</t>
  </si>
  <si>
    <t>1905854/X</t>
  </si>
  <si>
    <t>1910492/W</t>
  </si>
  <si>
    <t>BG0234</t>
  </si>
  <si>
    <t>23010142</t>
  </si>
  <si>
    <t>23011577</t>
  </si>
  <si>
    <t>21030280</t>
  </si>
  <si>
    <t>467A41032</t>
  </si>
  <si>
    <t>23010044</t>
  </si>
  <si>
    <t>23011575</t>
  </si>
  <si>
    <t>3081571</t>
  </si>
  <si>
    <t>1905221/W</t>
  </si>
  <si>
    <t>605</t>
  </si>
  <si>
    <t>ST02-CH-22-70638</t>
  </si>
  <si>
    <t>466A21032</t>
  </si>
  <si>
    <t>205409</t>
  </si>
  <si>
    <t>3075971</t>
  </si>
  <si>
    <t>3080596</t>
  </si>
  <si>
    <t>3074</t>
  </si>
  <si>
    <t>22067080183</t>
  </si>
  <si>
    <t>I20210121</t>
  </si>
  <si>
    <t>3073</t>
  </si>
  <si>
    <t>35493</t>
  </si>
  <si>
    <t>OM060004</t>
  </si>
  <si>
    <t>23F038</t>
  </si>
  <si>
    <t>311271</t>
  </si>
  <si>
    <t>228711</t>
  </si>
  <si>
    <t>22110228</t>
  </si>
  <si>
    <t>ST02-CH-22-70546</t>
  </si>
  <si>
    <t>59541199ws</t>
  </si>
  <si>
    <t>465A61032</t>
  </si>
  <si>
    <t>465A31032</t>
  </si>
  <si>
    <t>D029AF001C08A019380037</t>
  </si>
  <si>
    <t>21070126</t>
  </si>
  <si>
    <t>1905721/W</t>
  </si>
  <si>
    <t>217909</t>
  </si>
  <si>
    <t>464A42122</t>
  </si>
  <si>
    <t>464A32122</t>
  </si>
  <si>
    <t>OO020091</t>
  </si>
  <si>
    <t>217809</t>
  </si>
  <si>
    <t>22021827</t>
  </si>
  <si>
    <t>226811</t>
  </si>
  <si>
    <t>ST02-CH-22-70232</t>
  </si>
  <si>
    <t>59541201WS</t>
  </si>
  <si>
    <t>288605</t>
  </si>
  <si>
    <t>OO040058</t>
  </si>
  <si>
    <t>241102</t>
  </si>
  <si>
    <t>1910420/W</t>
  </si>
  <si>
    <t>241002</t>
  </si>
  <si>
    <t>OO020088</t>
  </si>
  <si>
    <t>ST01-CH-22-10647</t>
  </si>
  <si>
    <t>214107</t>
  </si>
  <si>
    <t>ST01-CH-22-10645</t>
  </si>
  <si>
    <t>457A00122</t>
  </si>
  <si>
    <t>OO080023</t>
  </si>
  <si>
    <t>224110</t>
  </si>
  <si>
    <t>151512</t>
  </si>
  <si>
    <t>253102</t>
  </si>
  <si>
    <t>223310</t>
  </si>
  <si>
    <t>5846</t>
  </si>
  <si>
    <t>5847</t>
  </si>
  <si>
    <t>ST02-CH-22-70635</t>
  </si>
  <si>
    <t>223610</t>
  </si>
  <si>
    <t>1016-4-3364</t>
  </si>
  <si>
    <t>222010</t>
  </si>
  <si>
    <t>220910</t>
  </si>
  <si>
    <t>62751936WS</t>
  </si>
  <si>
    <t>ST02-CH-22-70629</t>
  </si>
  <si>
    <t>ST02-CH-22-70504</t>
  </si>
  <si>
    <t>ST02-CH-22-70500</t>
  </si>
  <si>
    <t>1016-4-3341</t>
  </si>
  <si>
    <t>OO020107</t>
  </si>
  <si>
    <t>OO020089</t>
  </si>
  <si>
    <t>217209</t>
  </si>
  <si>
    <t>ST02-CH-22-70191</t>
  </si>
  <si>
    <t>1016-4-3370</t>
  </si>
  <si>
    <t>OO040065</t>
  </si>
  <si>
    <t>21080303</t>
  </si>
  <si>
    <t>1029-2-198</t>
  </si>
  <si>
    <t>9542</t>
  </si>
  <si>
    <t>445A98022</t>
  </si>
  <si>
    <t>22021829</t>
  </si>
  <si>
    <t>217309</t>
  </si>
  <si>
    <t>252702</t>
  </si>
  <si>
    <t>1029-2-188</t>
  </si>
  <si>
    <t>217509</t>
  </si>
  <si>
    <t>7650958/W</t>
  </si>
  <si>
    <t>203407</t>
  </si>
  <si>
    <t>203307</t>
  </si>
  <si>
    <t>OO040064</t>
  </si>
  <si>
    <t>214007</t>
  </si>
  <si>
    <t>1021-1-1042</t>
  </si>
  <si>
    <t>1029-2-166</t>
  </si>
  <si>
    <t>446A18022</t>
  </si>
  <si>
    <t>444A98022</t>
  </si>
  <si>
    <t>22070033</t>
  </si>
  <si>
    <t>1560621/T</t>
  </si>
  <si>
    <t>252802</t>
  </si>
  <si>
    <t>239402</t>
  </si>
  <si>
    <t>252602</t>
  </si>
  <si>
    <t>211107</t>
  </si>
  <si>
    <t>ST02-CH-22-70492</t>
  </si>
  <si>
    <t>7700861/W</t>
  </si>
  <si>
    <t>ST02-CH-22-70489</t>
  </si>
  <si>
    <t>7600782/T</t>
  </si>
  <si>
    <t>210807</t>
  </si>
  <si>
    <t>ST02-CH-22-70491</t>
  </si>
  <si>
    <t>ST02-CH-22-70436</t>
  </si>
  <si>
    <t>ST02-CH-22-70230</t>
  </si>
  <si>
    <t>201102</t>
  </si>
  <si>
    <t>240902</t>
  </si>
  <si>
    <t>290804</t>
  </si>
  <si>
    <t>1905372/W</t>
  </si>
  <si>
    <t>D029AF001C08A019090004</t>
  </si>
  <si>
    <t>1905351/W</t>
  </si>
  <si>
    <t>208207</t>
  </si>
  <si>
    <t>7600519/S</t>
  </si>
  <si>
    <t>OO020086</t>
  </si>
  <si>
    <t>OO020084</t>
  </si>
  <si>
    <t>208107</t>
  </si>
  <si>
    <t>OZ010011</t>
  </si>
  <si>
    <t>439A67022</t>
  </si>
  <si>
    <t>3207310/0418</t>
  </si>
  <si>
    <t>207607</t>
  </si>
  <si>
    <t>7700884/W</t>
  </si>
  <si>
    <t>151312</t>
  </si>
  <si>
    <t>21081177</t>
  </si>
  <si>
    <t>200502</t>
  </si>
  <si>
    <t>950605</t>
  </si>
  <si>
    <t>OO020083</t>
  </si>
  <si>
    <t>21081178</t>
  </si>
  <si>
    <t>276503</t>
  </si>
  <si>
    <t>D029AF001C08A019050015</t>
  </si>
  <si>
    <t>21051125</t>
  </si>
  <si>
    <t>OO010083</t>
  </si>
  <si>
    <t>9514</t>
  </si>
  <si>
    <t>427A74022</t>
  </si>
  <si>
    <t>1905193/w</t>
  </si>
  <si>
    <t>7700887/W</t>
  </si>
  <si>
    <t>ST02-CH-22-70189</t>
  </si>
  <si>
    <t>426A44022</t>
  </si>
  <si>
    <t>120220070</t>
  </si>
  <si>
    <t>1029-2-171</t>
  </si>
  <si>
    <t>430A15022</t>
  </si>
  <si>
    <t>OO010069</t>
  </si>
  <si>
    <t>1910247/W</t>
  </si>
  <si>
    <t>253002</t>
  </si>
  <si>
    <t>426A04022</t>
  </si>
  <si>
    <t>OO040057</t>
  </si>
  <si>
    <t>290704</t>
  </si>
  <si>
    <t>9513</t>
  </si>
  <si>
    <t>418A72022</t>
  </si>
  <si>
    <t>OO010068</t>
  </si>
  <si>
    <t>7600783/T</t>
  </si>
  <si>
    <t>OO010079</t>
  </si>
  <si>
    <t>1016-4-3330</t>
  </si>
  <si>
    <t>1029-2-169</t>
  </si>
  <si>
    <t>831705</t>
  </si>
  <si>
    <t>1560640/T</t>
  </si>
  <si>
    <t>30211184</t>
  </si>
  <si>
    <t>294104</t>
  </si>
  <si>
    <t>30210887</t>
  </si>
  <si>
    <t>OO010113</t>
  </si>
  <si>
    <t>OO010076</t>
  </si>
  <si>
    <t>1905085/V</t>
  </si>
  <si>
    <t>OO010077</t>
  </si>
  <si>
    <t>198112</t>
  </si>
  <si>
    <t>239302</t>
  </si>
  <si>
    <t>1560299/S</t>
  </si>
  <si>
    <t>472105</t>
  </si>
  <si>
    <t>994709</t>
  </si>
  <si>
    <t>178111</t>
  </si>
  <si>
    <t>7700773/W</t>
  </si>
  <si>
    <t>1552160/V</t>
  </si>
  <si>
    <t>OO020025</t>
  </si>
  <si>
    <t>2946</t>
  </si>
  <si>
    <t>OO010109</t>
  </si>
  <si>
    <t>1016-4-1112</t>
  </si>
  <si>
    <t>0041-0573</t>
  </si>
  <si>
    <t>0041-0572</t>
  </si>
  <si>
    <t>0041-0548</t>
  </si>
  <si>
    <t>167110</t>
  </si>
  <si>
    <t>145709</t>
  </si>
  <si>
    <t>7700774/W</t>
  </si>
  <si>
    <t>419A02022</t>
  </si>
  <si>
    <t>151212</t>
  </si>
  <si>
    <t>1016-4-3176</t>
  </si>
  <si>
    <t>0041-0575</t>
  </si>
  <si>
    <t>0041-0576</t>
  </si>
  <si>
    <t>OO010022</t>
  </si>
  <si>
    <t>OO010029</t>
  </si>
  <si>
    <t>411A62112</t>
  </si>
  <si>
    <t>D029AF001C08A018490008</t>
  </si>
  <si>
    <t>400088</t>
  </si>
  <si>
    <t>1029-2-158</t>
  </si>
  <si>
    <t>1029-2-118</t>
  </si>
  <si>
    <t>1021-1-1024</t>
  </si>
  <si>
    <t>21051135</t>
  </si>
  <si>
    <t>I20220016</t>
  </si>
  <si>
    <t>2202260351</t>
  </si>
  <si>
    <t>170710</t>
  </si>
  <si>
    <t>942003</t>
  </si>
  <si>
    <t>22010001</t>
  </si>
  <si>
    <t>19110028</t>
  </si>
  <si>
    <t>412A42112</t>
  </si>
  <si>
    <t>414A01022</t>
  </si>
  <si>
    <t>D029AF001C08A019090009</t>
  </si>
  <si>
    <t>I20210134</t>
  </si>
  <si>
    <t>173604</t>
  </si>
  <si>
    <t>OM040052</t>
  </si>
  <si>
    <t>D029AF001C08A019090003</t>
  </si>
  <si>
    <t>H20180032</t>
  </si>
  <si>
    <t>OM080040</t>
  </si>
  <si>
    <t>1905148</t>
  </si>
  <si>
    <t>164309</t>
  </si>
  <si>
    <t>1560623/T</t>
  </si>
  <si>
    <t>410A82112</t>
  </si>
  <si>
    <t>129611</t>
  </si>
  <si>
    <t>175912</t>
  </si>
  <si>
    <t>I20210099</t>
  </si>
  <si>
    <t>129511</t>
  </si>
  <si>
    <t>163709</t>
  </si>
  <si>
    <t>129411</t>
  </si>
  <si>
    <t>OM100001</t>
  </si>
  <si>
    <t>OM040041</t>
  </si>
  <si>
    <t>20070224</t>
  </si>
  <si>
    <t>OM100010</t>
  </si>
  <si>
    <t>406A11112</t>
  </si>
  <si>
    <t>145609</t>
  </si>
  <si>
    <t>406A81112</t>
  </si>
  <si>
    <t>100609</t>
  </si>
  <si>
    <t>198009</t>
  </si>
  <si>
    <t>OM100009</t>
  </si>
  <si>
    <t>OM040040</t>
  </si>
  <si>
    <t>403A50112</t>
  </si>
  <si>
    <t>9447</t>
  </si>
  <si>
    <t>1905084/V</t>
  </si>
  <si>
    <t>108806</t>
  </si>
  <si>
    <t>145302</t>
  </si>
  <si>
    <t>21010092</t>
  </si>
  <si>
    <t>150705</t>
  </si>
  <si>
    <t>163109</t>
  </si>
  <si>
    <t>OM080030</t>
  </si>
  <si>
    <t>OM100003</t>
  </si>
  <si>
    <t>OM080037</t>
  </si>
  <si>
    <t>1029-2-125</t>
  </si>
  <si>
    <t>OM080038</t>
  </si>
  <si>
    <t>OM080033</t>
  </si>
  <si>
    <t>I20210115</t>
  </si>
  <si>
    <t>19020092</t>
  </si>
  <si>
    <t>7650774</t>
  </si>
  <si>
    <t>139708</t>
  </si>
  <si>
    <t>139608</t>
  </si>
  <si>
    <t>OM080008</t>
  </si>
  <si>
    <t>0M080003</t>
  </si>
  <si>
    <t>9397</t>
  </si>
  <si>
    <t>OM080004</t>
  </si>
  <si>
    <t>193208</t>
  </si>
  <si>
    <t>173804</t>
  </si>
  <si>
    <t>1905048</t>
  </si>
  <si>
    <t>D029AF001C08A018490007</t>
  </si>
  <si>
    <t>193408</t>
  </si>
  <si>
    <t>182006</t>
  </si>
  <si>
    <t>179505</t>
  </si>
  <si>
    <t>OM080039</t>
  </si>
  <si>
    <t>21031057</t>
  </si>
  <si>
    <t>20021535</t>
  </si>
  <si>
    <t>145001</t>
  </si>
  <si>
    <t>21071164</t>
  </si>
  <si>
    <t>21071162</t>
  </si>
  <si>
    <t>164904</t>
  </si>
  <si>
    <t>1900393/V</t>
  </si>
  <si>
    <t>7650631/U</t>
  </si>
  <si>
    <t>OM060005</t>
  </si>
  <si>
    <t>182106</t>
  </si>
  <si>
    <t>181906</t>
  </si>
  <si>
    <t>OM060001</t>
  </si>
  <si>
    <t>1900489/V</t>
  </si>
  <si>
    <t>19121509</t>
  </si>
  <si>
    <t>19020093</t>
  </si>
  <si>
    <t>182206</t>
  </si>
  <si>
    <t>1900490</t>
  </si>
  <si>
    <t>D029AF001C08A018200004</t>
  </si>
  <si>
    <t>I20190080</t>
  </si>
  <si>
    <t>I20190062</t>
  </si>
  <si>
    <t>19121510</t>
  </si>
  <si>
    <t>7650635/U</t>
  </si>
  <si>
    <t>146404</t>
  </si>
  <si>
    <t>OM040046</t>
  </si>
  <si>
    <t>1016-2-457</t>
  </si>
  <si>
    <t>30712</t>
  </si>
  <si>
    <t>OO040059</t>
  </si>
  <si>
    <t>21041080</t>
  </si>
  <si>
    <t>3130905190</t>
  </si>
  <si>
    <t>21051113</t>
  </si>
  <si>
    <t>21041081</t>
  </si>
  <si>
    <t>173304</t>
  </si>
  <si>
    <t>21010083</t>
  </si>
  <si>
    <t>1021-1-1010</t>
  </si>
  <si>
    <t>21051109</t>
  </si>
  <si>
    <t>919712</t>
  </si>
  <si>
    <t>I20190053</t>
  </si>
  <si>
    <t>OM030017</t>
  </si>
  <si>
    <t>1551926/V</t>
  </si>
  <si>
    <t>31632913WS</t>
  </si>
  <si>
    <t>OZ120034</t>
  </si>
  <si>
    <t>OZ120031</t>
  </si>
  <si>
    <t>0041-0501</t>
  </si>
  <si>
    <t>169103</t>
  </si>
  <si>
    <t>D029AF001C08A018490001</t>
  </si>
  <si>
    <t>30412</t>
  </si>
  <si>
    <t>OZ120032</t>
  </si>
  <si>
    <t>OM030018</t>
  </si>
  <si>
    <t>169603</t>
  </si>
  <si>
    <t>165402</t>
  </si>
  <si>
    <t>166702</t>
  </si>
  <si>
    <t>9355</t>
  </si>
  <si>
    <t>1025-1-577</t>
  </si>
  <si>
    <t>0M030027</t>
  </si>
  <si>
    <t>41210</t>
  </si>
  <si>
    <t>20120096</t>
  </si>
  <si>
    <t>1016-4-1101</t>
  </si>
  <si>
    <t>168803</t>
  </si>
  <si>
    <t>1029-1-1229</t>
  </si>
  <si>
    <t>163601</t>
  </si>
  <si>
    <t>23110</t>
  </si>
  <si>
    <t>167302</t>
  </si>
  <si>
    <t>OZ120039</t>
  </si>
  <si>
    <t>57212</t>
  </si>
  <si>
    <t>31512</t>
  </si>
  <si>
    <t>55511</t>
  </si>
  <si>
    <t>OZ120050</t>
  </si>
  <si>
    <t>0Z120038</t>
  </si>
  <si>
    <t>OM010047</t>
  </si>
  <si>
    <t>161301</t>
  </si>
  <si>
    <t>1900289/U</t>
  </si>
  <si>
    <t>OZ010055</t>
  </si>
  <si>
    <t>17040109</t>
  </si>
  <si>
    <t>OZ120049</t>
  </si>
  <si>
    <t>21013984</t>
  </si>
  <si>
    <t>58812</t>
  </si>
  <si>
    <t>58212</t>
  </si>
  <si>
    <t>59812</t>
  </si>
  <si>
    <t>D029AF001C08A018070026</t>
  </si>
  <si>
    <t>59712</t>
  </si>
  <si>
    <t>MA090005</t>
  </si>
  <si>
    <t>57512</t>
  </si>
  <si>
    <t>7700266/T</t>
  </si>
  <si>
    <t>55211</t>
  </si>
  <si>
    <t>MA070072</t>
  </si>
  <si>
    <t>9501</t>
  </si>
  <si>
    <t>0Z010056</t>
  </si>
  <si>
    <t>22810</t>
  </si>
  <si>
    <t>35905</t>
  </si>
  <si>
    <t>93803</t>
  </si>
  <si>
    <t>20050050</t>
  </si>
  <si>
    <t>1900317/U</t>
  </si>
  <si>
    <t>ML040082</t>
  </si>
  <si>
    <t>1900315</t>
  </si>
  <si>
    <t>918111</t>
  </si>
  <si>
    <t>1900314/U</t>
  </si>
  <si>
    <t>i20180082</t>
  </si>
  <si>
    <t>19009</t>
  </si>
  <si>
    <t>19409</t>
  </si>
  <si>
    <t>75002</t>
  </si>
  <si>
    <t>920710</t>
  </si>
  <si>
    <t>19121500</t>
  </si>
  <si>
    <t>928307</t>
  </si>
  <si>
    <t>1551356/T</t>
  </si>
  <si>
    <t>19063477</t>
  </si>
  <si>
    <t>8506</t>
  </si>
  <si>
    <t>8101</t>
  </si>
  <si>
    <t>3505</t>
  </si>
  <si>
    <t>13907</t>
  </si>
  <si>
    <t>978</t>
  </si>
  <si>
    <t>91502</t>
  </si>
  <si>
    <t>85301</t>
  </si>
  <si>
    <t>93103</t>
  </si>
  <si>
    <t>9001</t>
  </si>
  <si>
    <t>91702</t>
  </si>
  <si>
    <t>91402</t>
  </si>
  <si>
    <t>786212</t>
  </si>
  <si>
    <t>980712</t>
  </si>
  <si>
    <t>65002</t>
  </si>
  <si>
    <t>19121507</t>
  </si>
  <si>
    <t>955103</t>
  </si>
  <si>
    <t>925112</t>
  </si>
  <si>
    <t>0041-498</t>
  </si>
  <si>
    <t>OZ010013</t>
  </si>
  <si>
    <t>20023757</t>
  </si>
  <si>
    <t>MA110067</t>
  </si>
  <si>
    <t>UV6783</t>
  </si>
  <si>
    <t>R001619</t>
  </si>
  <si>
    <t>8401</t>
  </si>
  <si>
    <t>MA100038</t>
  </si>
  <si>
    <t>904712</t>
  </si>
  <si>
    <t>9267</t>
  </si>
  <si>
    <t>MA120082</t>
  </si>
  <si>
    <t>20023758</t>
  </si>
  <si>
    <t>MA100009</t>
  </si>
  <si>
    <t>903108</t>
  </si>
  <si>
    <t>1016-4-1082</t>
  </si>
  <si>
    <t>1029-1-1245</t>
  </si>
  <si>
    <t>954303</t>
  </si>
  <si>
    <t>19111443</t>
  </si>
  <si>
    <t>1016-4-3011</t>
  </si>
  <si>
    <t>MA110069</t>
  </si>
  <si>
    <t>904512</t>
  </si>
  <si>
    <t>904412</t>
  </si>
  <si>
    <t>983112</t>
  </si>
  <si>
    <t>917511</t>
  </si>
  <si>
    <t>7650411/T</t>
  </si>
  <si>
    <t>507460</t>
  </si>
  <si>
    <t>998911</t>
  </si>
  <si>
    <t>20010178</t>
  </si>
  <si>
    <t>999111</t>
  </si>
  <si>
    <t>917311</t>
  </si>
  <si>
    <t>19020069</t>
  </si>
  <si>
    <t>977107</t>
  </si>
  <si>
    <t>20013727</t>
  </si>
  <si>
    <t>917411</t>
  </si>
  <si>
    <t>7600704/S</t>
  </si>
  <si>
    <t>919810</t>
  </si>
  <si>
    <t>18080229</t>
  </si>
  <si>
    <t>748306</t>
  </si>
  <si>
    <t>908907</t>
  </si>
  <si>
    <t>19123683</t>
  </si>
  <si>
    <t>919910</t>
  </si>
  <si>
    <t>908807</t>
  </si>
  <si>
    <t>932102</t>
  </si>
  <si>
    <t>19123680</t>
  </si>
  <si>
    <t>7600144</t>
  </si>
  <si>
    <t>18080227</t>
  </si>
  <si>
    <t>903105</t>
  </si>
  <si>
    <t>971310</t>
  </si>
  <si>
    <t>MA040077</t>
  </si>
  <si>
    <t>1551433/T</t>
  </si>
  <si>
    <t>1905010729C</t>
  </si>
  <si>
    <t>MH090050</t>
  </si>
  <si>
    <t>18060119</t>
  </si>
  <si>
    <t>H20170031</t>
  </si>
  <si>
    <t>MA100033</t>
  </si>
  <si>
    <t>D029F001C08A018070028</t>
  </si>
  <si>
    <t>I20180073</t>
  </si>
  <si>
    <t>H20180203</t>
  </si>
  <si>
    <t>19070136</t>
  </si>
  <si>
    <t>852012</t>
  </si>
  <si>
    <t>MA060095</t>
  </si>
  <si>
    <t>946704</t>
  </si>
  <si>
    <t>18080228</t>
  </si>
  <si>
    <t>931901</t>
  </si>
  <si>
    <t>19113609</t>
  </si>
  <si>
    <t>18123287</t>
  </si>
  <si>
    <t>18060266</t>
  </si>
  <si>
    <t>851712</t>
  </si>
  <si>
    <t>851812</t>
  </si>
  <si>
    <t>18053120</t>
  </si>
  <si>
    <t>I20190044</t>
  </si>
  <si>
    <t>906405</t>
  </si>
  <si>
    <t>MA060082</t>
  </si>
  <si>
    <t>1016-4-1066</t>
  </si>
  <si>
    <t>1551351/T</t>
  </si>
  <si>
    <t>999107</t>
  </si>
  <si>
    <t>16020170</t>
  </si>
  <si>
    <t>3207309</t>
  </si>
  <si>
    <t>MH050045</t>
  </si>
  <si>
    <t>990505</t>
  </si>
  <si>
    <t>942303</t>
  </si>
  <si>
    <t>ML100068</t>
  </si>
  <si>
    <t>942503</t>
  </si>
  <si>
    <t>I20190082</t>
  </si>
  <si>
    <t>909406</t>
  </si>
  <si>
    <t>909206</t>
  </si>
  <si>
    <t>941903</t>
  </si>
  <si>
    <t>2182</t>
  </si>
  <si>
    <t>2623</t>
  </si>
  <si>
    <t>999202</t>
  </si>
  <si>
    <t>938402</t>
  </si>
  <si>
    <t>1029-1-1198</t>
  </si>
  <si>
    <t>1016-2-687</t>
  </si>
  <si>
    <t>970201</t>
  </si>
  <si>
    <t>954603</t>
  </si>
  <si>
    <t>851112</t>
  </si>
  <si>
    <t>851012</t>
  </si>
  <si>
    <t>948702</t>
  </si>
  <si>
    <t>970101</t>
  </si>
  <si>
    <t>998507</t>
  </si>
  <si>
    <t>1551350/T</t>
  </si>
  <si>
    <t>941503</t>
  </si>
  <si>
    <t>2-0510</t>
  </si>
  <si>
    <t>WD110065026</t>
  </si>
  <si>
    <t>987004</t>
  </si>
  <si>
    <t>7600779/T</t>
  </si>
  <si>
    <t>808805</t>
  </si>
  <si>
    <t>MA070041</t>
  </si>
  <si>
    <t>903505</t>
  </si>
  <si>
    <t>40642033WS</t>
  </si>
  <si>
    <t>MA050078</t>
  </si>
  <si>
    <t>MA-060019</t>
  </si>
  <si>
    <t>903305</t>
  </si>
  <si>
    <t>19061343</t>
  </si>
  <si>
    <t>851312</t>
  </si>
  <si>
    <t>851612</t>
  </si>
  <si>
    <t>19063473</t>
  </si>
  <si>
    <t>1551066</t>
  </si>
  <si>
    <t>946404</t>
  </si>
  <si>
    <t>896312</t>
  </si>
  <si>
    <t>903205</t>
  </si>
  <si>
    <t>I20190065</t>
  </si>
  <si>
    <t>901004</t>
  </si>
  <si>
    <t>MA040076</t>
  </si>
  <si>
    <t>923004</t>
  </si>
  <si>
    <t>19060129</t>
  </si>
  <si>
    <t>1560283</t>
  </si>
  <si>
    <t>902905</t>
  </si>
  <si>
    <t>MA050081</t>
  </si>
  <si>
    <t>7600731</t>
  </si>
  <si>
    <t>0041-0489</t>
  </si>
  <si>
    <t>932001</t>
  </si>
  <si>
    <t>7700098/S</t>
  </si>
  <si>
    <t>955203</t>
  </si>
  <si>
    <t>902705</t>
  </si>
  <si>
    <t>809905</t>
  </si>
  <si>
    <t>ML050052</t>
  </si>
  <si>
    <t>810105</t>
  </si>
  <si>
    <t>902805</t>
  </si>
  <si>
    <t>ML100044</t>
  </si>
  <si>
    <t>MA030029</t>
  </si>
  <si>
    <t>17100157</t>
  </si>
  <si>
    <t>MA050086</t>
  </si>
  <si>
    <t>970001</t>
  </si>
  <si>
    <t>1029-1-1180</t>
  </si>
  <si>
    <t>1025-1-511</t>
  </si>
  <si>
    <t>7600785</t>
  </si>
  <si>
    <t>901203</t>
  </si>
  <si>
    <t>9208</t>
  </si>
  <si>
    <t>18040033</t>
  </si>
  <si>
    <t>MA030030</t>
  </si>
  <si>
    <t>996701</t>
  </si>
  <si>
    <t>12002006309</t>
  </si>
  <si>
    <t>18070075</t>
  </si>
  <si>
    <t>774010</t>
  </si>
  <si>
    <t>ML100061</t>
  </si>
  <si>
    <t>901104</t>
  </si>
  <si>
    <t>896212</t>
  </si>
  <si>
    <t>1016-4-1022</t>
  </si>
  <si>
    <t>D029AF001C08A018340010</t>
  </si>
  <si>
    <t>900904</t>
  </si>
  <si>
    <t>903804</t>
  </si>
  <si>
    <t>460907</t>
  </si>
  <si>
    <t>18113279</t>
  </si>
  <si>
    <t>7700013/R</t>
  </si>
  <si>
    <t>725612</t>
  </si>
  <si>
    <t>944901</t>
  </si>
  <si>
    <t>7650318/T</t>
  </si>
  <si>
    <t>ML110007</t>
  </si>
  <si>
    <t>1021-1-863</t>
  </si>
  <si>
    <t>1029-1-1162</t>
  </si>
  <si>
    <t>I20180071</t>
  </si>
  <si>
    <t>903604</t>
  </si>
  <si>
    <t>D029AF001C08A018070024</t>
  </si>
  <si>
    <t>800105</t>
  </si>
  <si>
    <t>ML100077</t>
  </si>
  <si>
    <t>17100748</t>
  </si>
  <si>
    <t>830610</t>
  </si>
  <si>
    <t>831505</t>
  </si>
  <si>
    <t>956203</t>
  </si>
  <si>
    <t>7700102/S</t>
  </si>
  <si>
    <t>1550936/S</t>
  </si>
  <si>
    <t>7700104/S</t>
  </si>
  <si>
    <t>810205</t>
  </si>
  <si>
    <t>9177</t>
  </si>
  <si>
    <t>MT12017</t>
  </si>
  <si>
    <t>842212</t>
  </si>
  <si>
    <t>842012</t>
  </si>
  <si>
    <t>608405</t>
  </si>
  <si>
    <t>1016-4-1033</t>
  </si>
  <si>
    <t>MA010067</t>
  </si>
  <si>
    <t>996901</t>
  </si>
  <si>
    <t>892510</t>
  </si>
  <si>
    <t>18080226</t>
  </si>
  <si>
    <t>822408</t>
  </si>
  <si>
    <t>1029-1-1156</t>
  </si>
  <si>
    <t>1021-1-859</t>
  </si>
  <si>
    <t>830210</t>
  </si>
  <si>
    <t>817607</t>
  </si>
  <si>
    <t>832112</t>
  </si>
  <si>
    <t>18113278</t>
  </si>
  <si>
    <t>829812</t>
  </si>
  <si>
    <t>ML120029</t>
  </si>
  <si>
    <t>MM03015</t>
  </si>
  <si>
    <t>827409</t>
  </si>
  <si>
    <t>888701</t>
  </si>
  <si>
    <t>18053118</t>
  </si>
  <si>
    <t>894811</t>
  </si>
  <si>
    <t>830510</t>
  </si>
  <si>
    <t>822208</t>
  </si>
  <si>
    <t>ML06006</t>
  </si>
  <si>
    <t>ML120080</t>
  </si>
  <si>
    <t>784312</t>
  </si>
  <si>
    <t>9140</t>
  </si>
  <si>
    <t>17072848</t>
  </si>
  <si>
    <t>1016-2-237</t>
  </si>
  <si>
    <t>1025-1-447</t>
  </si>
  <si>
    <t>831805</t>
  </si>
  <si>
    <t>18060117</t>
  </si>
  <si>
    <t>ML120078</t>
  </si>
  <si>
    <t>892310</t>
  </si>
  <si>
    <t>ML120079</t>
  </si>
  <si>
    <t>18060118</t>
  </si>
  <si>
    <t>1550838/S</t>
  </si>
  <si>
    <t>ML050053</t>
  </si>
  <si>
    <t>ML030052</t>
  </si>
  <si>
    <t>286811</t>
  </si>
  <si>
    <t>19030122</t>
  </si>
  <si>
    <t>D029AF001C08A018200007</t>
  </si>
  <si>
    <t>I20190010</t>
  </si>
  <si>
    <t>MD11052</t>
  </si>
  <si>
    <t>ML040089</t>
  </si>
  <si>
    <t>ML040113</t>
  </si>
  <si>
    <t>ML040074</t>
  </si>
  <si>
    <t>7700099/S</t>
  </si>
  <si>
    <t>817209</t>
  </si>
  <si>
    <t>18073165</t>
  </si>
  <si>
    <t>817409</t>
  </si>
  <si>
    <t>ML070071</t>
  </si>
  <si>
    <t>18053126</t>
  </si>
  <si>
    <t>887907</t>
  </si>
  <si>
    <t>576705</t>
  </si>
  <si>
    <t>8940</t>
  </si>
  <si>
    <t>1016-4-1013</t>
  </si>
  <si>
    <t>818801</t>
  </si>
  <si>
    <t>3207180</t>
  </si>
  <si>
    <t>705209</t>
  </si>
  <si>
    <t>879205</t>
  </si>
  <si>
    <t>14063366</t>
  </si>
  <si>
    <t>18053127</t>
  </si>
  <si>
    <t>831404</t>
  </si>
  <si>
    <t>821202</t>
  </si>
  <si>
    <t>888801</t>
  </si>
  <si>
    <t>18040284</t>
  </si>
  <si>
    <t>818701</t>
  </si>
  <si>
    <t>748106</t>
  </si>
  <si>
    <t>741504</t>
  </si>
  <si>
    <t>ML01001</t>
  </si>
  <si>
    <t>ML040066</t>
  </si>
  <si>
    <t>889803</t>
  </si>
  <si>
    <t>885406</t>
  </si>
  <si>
    <t>1029-1-1085</t>
  </si>
  <si>
    <t>750407</t>
  </si>
  <si>
    <t>885306</t>
  </si>
  <si>
    <t>809205</t>
  </si>
  <si>
    <t>820106</t>
  </si>
  <si>
    <t>821406</t>
  </si>
  <si>
    <t>890003</t>
  </si>
  <si>
    <t>ML01007</t>
  </si>
  <si>
    <t>879305</t>
  </si>
  <si>
    <t>820206</t>
  </si>
  <si>
    <t>779112</t>
  </si>
  <si>
    <t>1550851/s</t>
  </si>
  <si>
    <t>18043105</t>
  </si>
  <si>
    <t>18023044</t>
  </si>
  <si>
    <t>877505</t>
  </si>
  <si>
    <t>18060018</t>
  </si>
  <si>
    <t>18053124</t>
  </si>
  <si>
    <t>8441</t>
  </si>
  <si>
    <t>1029-1-1078</t>
  </si>
  <si>
    <t>878705</t>
  </si>
  <si>
    <t>8908</t>
  </si>
  <si>
    <t>13071866</t>
  </si>
  <si>
    <t>MZ12001</t>
  </si>
  <si>
    <t>18043103</t>
  </si>
  <si>
    <t>878805</t>
  </si>
  <si>
    <t>1016-2-1228</t>
  </si>
  <si>
    <t>616709</t>
  </si>
  <si>
    <t>18043106</t>
  </si>
  <si>
    <t>806605</t>
  </si>
  <si>
    <t>779212</t>
  </si>
  <si>
    <t>899405</t>
  </si>
  <si>
    <t>18043104</t>
  </si>
  <si>
    <t>2013-36-550S-024</t>
  </si>
  <si>
    <t>11110002</t>
  </si>
  <si>
    <t>1550297/P</t>
  </si>
  <si>
    <t>MH050051</t>
  </si>
  <si>
    <t>778812</t>
  </si>
  <si>
    <t>784612</t>
  </si>
  <si>
    <t>ML030050</t>
  </si>
  <si>
    <t>18023046</t>
  </si>
  <si>
    <t>UV6447</t>
  </si>
  <si>
    <t>707611</t>
  </si>
  <si>
    <t>18030240</t>
  </si>
  <si>
    <t>8096</t>
  </si>
  <si>
    <t>774110</t>
  </si>
  <si>
    <t>1029-1-1049</t>
  </si>
  <si>
    <t>1025-1-597</t>
  </si>
  <si>
    <t>16070011</t>
  </si>
  <si>
    <t>18030238</t>
  </si>
  <si>
    <t>18030237</t>
  </si>
  <si>
    <t>MH010033</t>
  </si>
  <si>
    <t>18030239</t>
  </si>
  <si>
    <t>759706</t>
  </si>
  <si>
    <t>ML030048</t>
  </si>
  <si>
    <t>757601</t>
  </si>
  <si>
    <t>MH010032</t>
  </si>
  <si>
    <t>821002</t>
  </si>
  <si>
    <t>1550303/P</t>
  </si>
  <si>
    <t>871003</t>
  </si>
  <si>
    <t>16070012</t>
  </si>
  <si>
    <t>18023043</t>
  </si>
  <si>
    <t>708412</t>
  </si>
  <si>
    <t>16070017</t>
  </si>
  <si>
    <t>766712</t>
  </si>
  <si>
    <t>773710</t>
  </si>
  <si>
    <t>MH110067</t>
  </si>
  <si>
    <t>762906</t>
  </si>
  <si>
    <t>ML010042</t>
  </si>
  <si>
    <t>8888</t>
  </si>
  <si>
    <t>H20180204</t>
  </si>
  <si>
    <t>757606</t>
  </si>
  <si>
    <t>ML010049</t>
  </si>
  <si>
    <t>757406</t>
  </si>
  <si>
    <t>766612</t>
  </si>
  <si>
    <t>767312</t>
  </si>
  <si>
    <t>763306</t>
  </si>
  <si>
    <t>1550296/P</t>
  </si>
  <si>
    <t>7650154/S</t>
  </si>
  <si>
    <t>868001</t>
  </si>
  <si>
    <t>764905</t>
  </si>
  <si>
    <t>16070019</t>
  </si>
  <si>
    <t>18030329</t>
  </si>
  <si>
    <t>767112</t>
  </si>
  <si>
    <t>606705</t>
  </si>
  <si>
    <t>637808</t>
  </si>
  <si>
    <t>501310</t>
  </si>
  <si>
    <t>708312</t>
  </si>
  <si>
    <t>1550262/P</t>
  </si>
  <si>
    <t>1550294/P</t>
  </si>
  <si>
    <t>17012692</t>
  </si>
  <si>
    <t>867901</t>
  </si>
  <si>
    <t>17102927</t>
  </si>
  <si>
    <t>16070013</t>
  </si>
  <si>
    <t>709512</t>
  </si>
  <si>
    <t>16070018</t>
  </si>
  <si>
    <t>1029-1-996</t>
  </si>
  <si>
    <t>1016-2-1165</t>
  </si>
  <si>
    <t>1550293P</t>
  </si>
  <si>
    <t>MH110002</t>
  </si>
  <si>
    <t>1550214/P</t>
  </si>
  <si>
    <t>15070174</t>
  </si>
  <si>
    <t>775910</t>
  </si>
  <si>
    <t>MH090049</t>
  </si>
  <si>
    <t>752107</t>
  </si>
  <si>
    <t>MH090048</t>
  </si>
  <si>
    <t>MH110071</t>
  </si>
  <si>
    <t>MH110073</t>
  </si>
  <si>
    <t>A017500020</t>
  </si>
  <si>
    <t>17072857</t>
  </si>
  <si>
    <t>774209</t>
  </si>
  <si>
    <t>219411</t>
  </si>
  <si>
    <t>629203</t>
  </si>
  <si>
    <t>899505</t>
  </si>
  <si>
    <t>711</t>
  </si>
  <si>
    <t>708</t>
  </si>
  <si>
    <t>7457</t>
  </si>
  <si>
    <t>17101161</t>
  </si>
  <si>
    <t>17010007</t>
  </si>
  <si>
    <t>MH02006</t>
  </si>
  <si>
    <t>MD060014</t>
  </si>
  <si>
    <t>8849</t>
  </si>
  <si>
    <t>1025-1-442</t>
  </si>
  <si>
    <t>726210</t>
  </si>
  <si>
    <t>1016-2-1161</t>
  </si>
  <si>
    <t>17072849</t>
  </si>
  <si>
    <t>410449</t>
  </si>
  <si>
    <t>776303</t>
  </si>
  <si>
    <t>0041-0448</t>
  </si>
  <si>
    <t>1550204/P</t>
  </si>
  <si>
    <t>1021-1-733</t>
  </si>
  <si>
    <t>1021-1-736</t>
  </si>
  <si>
    <t>17072851</t>
  </si>
  <si>
    <t>14063364</t>
  </si>
  <si>
    <t>16081849</t>
  </si>
  <si>
    <t>1016-2-1128</t>
  </si>
  <si>
    <t>1029-1-901</t>
  </si>
  <si>
    <t>35560956WS</t>
  </si>
  <si>
    <t>3129-905189</t>
  </si>
  <si>
    <t>17012695</t>
  </si>
  <si>
    <t>11110003</t>
  </si>
  <si>
    <t>744003</t>
  </si>
  <si>
    <t>17040034</t>
  </si>
  <si>
    <t>756804</t>
  </si>
  <si>
    <t>8322</t>
  </si>
  <si>
    <t>35560958WS</t>
  </si>
  <si>
    <t>778912</t>
  </si>
  <si>
    <t>8780</t>
  </si>
  <si>
    <t>MD050008</t>
  </si>
  <si>
    <t>644509</t>
  </si>
  <si>
    <t>631112</t>
  </si>
  <si>
    <t>639809</t>
  </si>
  <si>
    <t>34732856WS</t>
  </si>
  <si>
    <t>MH010036</t>
  </si>
  <si>
    <t>8219</t>
  </si>
  <si>
    <t>16092592</t>
  </si>
  <si>
    <t>MS100076</t>
  </si>
  <si>
    <t>MS100072</t>
  </si>
  <si>
    <t>MS100074</t>
  </si>
  <si>
    <t>268306</t>
  </si>
  <si>
    <t>8724</t>
  </si>
  <si>
    <t>16060272</t>
  </si>
  <si>
    <t>MO030012</t>
  </si>
  <si>
    <t>1016-2-1083</t>
  </si>
  <si>
    <t>1021-1-709</t>
  </si>
  <si>
    <t>631103</t>
  </si>
  <si>
    <t>633207</t>
  </si>
  <si>
    <t>603906</t>
  </si>
  <si>
    <t>MS100075</t>
  </si>
  <si>
    <t>1029-1-867</t>
  </si>
  <si>
    <t>963/P</t>
  </si>
  <si>
    <t>650111</t>
  </si>
  <si>
    <t>MS050033</t>
  </si>
  <si>
    <t>1025-1-214</t>
  </si>
  <si>
    <t>MD05018</t>
  </si>
  <si>
    <t>12002006313</t>
  </si>
  <si>
    <t>584</t>
  </si>
  <si>
    <t>1550166/10</t>
  </si>
  <si>
    <t>1550166/P</t>
  </si>
  <si>
    <t>17102924</t>
  </si>
  <si>
    <t>8786</t>
  </si>
  <si>
    <t>1550152/10</t>
  </si>
  <si>
    <t>1550207/10</t>
  </si>
  <si>
    <t>12071625</t>
  </si>
  <si>
    <t>MD05006</t>
  </si>
  <si>
    <t>586508</t>
  </si>
  <si>
    <t>828613</t>
  </si>
  <si>
    <t>634607</t>
  </si>
  <si>
    <t>8367</t>
  </si>
  <si>
    <t>1016-2-1054</t>
  </si>
  <si>
    <t>0041-0405</t>
  </si>
  <si>
    <t>600302</t>
  </si>
  <si>
    <t>600202</t>
  </si>
  <si>
    <t>MD05013</t>
  </si>
  <si>
    <t>605706</t>
  </si>
  <si>
    <t>MS030040</t>
  </si>
  <si>
    <t>634507</t>
  </si>
  <si>
    <t>629303</t>
  </si>
  <si>
    <t>16032441</t>
  </si>
  <si>
    <t>122901299</t>
  </si>
  <si>
    <t>162901303</t>
  </si>
  <si>
    <t>16020285</t>
  </si>
  <si>
    <t>784017</t>
  </si>
  <si>
    <t>14C060</t>
  </si>
  <si>
    <t>MS060041</t>
  </si>
  <si>
    <t>616809</t>
  </si>
  <si>
    <t>8507</t>
  </si>
  <si>
    <t>16020172</t>
  </si>
  <si>
    <t>633407</t>
  </si>
  <si>
    <t>200010702</t>
  </si>
  <si>
    <t>633307</t>
  </si>
  <si>
    <t>MD110045</t>
  </si>
  <si>
    <t>606507</t>
  </si>
  <si>
    <t>603206</t>
  </si>
  <si>
    <t>MS050024</t>
  </si>
  <si>
    <t>506303</t>
  </si>
  <si>
    <t>MD110042</t>
  </si>
  <si>
    <t>632806</t>
  </si>
  <si>
    <t>632606</t>
  </si>
  <si>
    <t>MS030033</t>
  </si>
  <si>
    <t>268206</t>
  </si>
  <si>
    <t>503012</t>
  </si>
  <si>
    <t>Manu4</t>
  </si>
  <si>
    <t>Manu1</t>
  </si>
  <si>
    <t>Manu3</t>
  </si>
  <si>
    <t>Manu15</t>
  </si>
  <si>
    <t>16032447</t>
  </si>
  <si>
    <t>623201</t>
  </si>
  <si>
    <t>1550153/P</t>
  </si>
  <si>
    <t>1550151/P</t>
  </si>
  <si>
    <t>12F001</t>
  </si>
  <si>
    <t>632304</t>
  </si>
  <si>
    <t>1021-1-596</t>
  </si>
  <si>
    <t>1000-604-11</t>
  </si>
  <si>
    <t>1016-2-472</t>
  </si>
  <si>
    <t>1025-1-200</t>
  </si>
  <si>
    <t>1021-1-396</t>
  </si>
  <si>
    <t>1550168/P</t>
  </si>
  <si>
    <t>MD050009</t>
  </si>
  <si>
    <t>548701</t>
  </si>
  <si>
    <t>100020332</t>
  </si>
  <si>
    <t>10090062</t>
  </si>
  <si>
    <t>200020906</t>
  </si>
  <si>
    <t>1550085/P</t>
  </si>
  <si>
    <t>522112</t>
  </si>
  <si>
    <t>MS030022</t>
  </si>
  <si>
    <t>16012415</t>
  </si>
  <si>
    <t>MD100013</t>
  </si>
  <si>
    <t>402010</t>
  </si>
  <si>
    <t>MS020009</t>
  </si>
  <si>
    <t>MD110041</t>
  </si>
  <si>
    <t>402110</t>
  </si>
  <si>
    <t>520110</t>
  </si>
  <si>
    <t>1025-1-453</t>
  </si>
  <si>
    <t>401910</t>
  </si>
  <si>
    <t>1550021/O</t>
  </si>
  <si>
    <t>16012416</t>
  </si>
  <si>
    <t>15092330</t>
  </si>
  <si>
    <t>1016-2-473</t>
  </si>
  <si>
    <t>509205</t>
  </si>
  <si>
    <t>500810</t>
  </si>
  <si>
    <t>1021-1-547</t>
  </si>
  <si>
    <t>1016-2-784</t>
  </si>
  <si>
    <t>509905</t>
  </si>
  <si>
    <t>452108</t>
  </si>
  <si>
    <t>1029-1-571</t>
  </si>
  <si>
    <t>MD080003</t>
  </si>
  <si>
    <t>MT11021</t>
  </si>
  <si>
    <t>773444</t>
  </si>
  <si>
    <t>15092322</t>
  </si>
  <si>
    <t>8524</t>
  </si>
  <si>
    <t>0041-0065</t>
  </si>
  <si>
    <t>1016-2-713</t>
  </si>
  <si>
    <t>145716</t>
  </si>
  <si>
    <t>WD110018515</t>
  </si>
  <si>
    <t>24135</t>
  </si>
  <si>
    <t>15C040</t>
  </si>
  <si>
    <t>773054</t>
  </si>
  <si>
    <t>777911</t>
  </si>
  <si>
    <t>1016-2-690</t>
  </si>
  <si>
    <t>MD060001</t>
  </si>
  <si>
    <t>MR05072</t>
  </si>
  <si>
    <t>100020124</t>
  </si>
  <si>
    <t>513204</t>
  </si>
  <si>
    <t>296212</t>
  </si>
  <si>
    <t>MR11044</t>
  </si>
  <si>
    <t>1021-1-505</t>
  </si>
  <si>
    <t>8377</t>
  </si>
  <si>
    <t>MD03001</t>
  </si>
  <si>
    <t>393</t>
  </si>
  <si>
    <t>S-RBA-1</t>
  </si>
  <si>
    <t>1425611</t>
  </si>
  <si>
    <t>MD03030</t>
  </si>
  <si>
    <t>1000-108-06</t>
  </si>
  <si>
    <t>326309</t>
  </si>
  <si>
    <t>622</t>
  </si>
  <si>
    <t>MR11056</t>
  </si>
  <si>
    <t>1420908</t>
  </si>
  <si>
    <t>665103</t>
  </si>
  <si>
    <t>99010</t>
  </si>
  <si>
    <t>471405</t>
  </si>
  <si>
    <t>439305</t>
  </si>
  <si>
    <t>261404</t>
  </si>
  <si>
    <t>443906</t>
  </si>
  <si>
    <t>33257</t>
  </si>
  <si>
    <t>713603</t>
  </si>
  <si>
    <t>618</t>
  </si>
  <si>
    <t>MM12040</t>
  </si>
  <si>
    <t>SEL03310025</t>
  </si>
  <si>
    <t>451408</t>
  </si>
  <si>
    <t>14112152</t>
  </si>
  <si>
    <t>478607</t>
  </si>
  <si>
    <t>312405</t>
  </si>
  <si>
    <t>763106</t>
  </si>
  <si>
    <t>869902</t>
  </si>
  <si>
    <t>773910</t>
  </si>
  <si>
    <t>7455</t>
  </si>
  <si>
    <t>3207142/0516</t>
  </si>
  <si>
    <t>8533</t>
  </si>
  <si>
    <t>888107</t>
  </si>
  <si>
    <t>ILT14000938</t>
  </si>
  <si>
    <t>637907</t>
  </si>
  <si>
    <t>1021-1-497</t>
  </si>
  <si>
    <t>1021-1-841</t>
  </si>
  <si>
    <t>8203</t>
  </si>
  <si>
    <t>1016-2-581</t>
  </si>
  <si>
    <t>1016-2-588</t>
  </si>
  <si>
    <t>8311</t>
  </si>
  <si>
    <t>MR030008</t>
  </si>
  <si>
    <t>460807</t>
  </si>
  <si>
    <t>31492</t>
  </si>
  <si>
    <t>144238</t>
  </si>
  <si>
    <t>428</t>
  </si>
  <si>
    <t>454505</t>
  </si>
  <si>
    <t>Manu7</t>
  </si>
  <si>
    <t>Manu14</t>
  </si>
  <si>
    <t>180000213</t>
  </si>
  <si>
    <t>14C051</t>
  </si>
  <si>
    <t>443606</t>
  </si>
  <si>
    <t>14052005</t>
  </si>
  <si>
    <t>MR08037</t>
  </si>
  <si>
    <t>4479</t>
  </si>
  <si>
    <t>MT080017</t>
  </si>
  <si>
    <t>439605</t>
  </si>
  <si>
    <t>1016-2-546</t>
  </si>
  <si>
    <t>1135701808</t>
  </si>
  <si>
    <t>14051993</t>
  </si>
  <si>
    <t>439505</t>
  </si>
  <si>
    <t>MT020005</t>
  </si>
  <si>
    <t>210896/582</t>
  </si>
  <si>
    <t>MT080016</t>
  </si>
  <si>
    <t>1016-2-508</t>
  </si>
  <si>
    <t>1021-1-383</t>
  </si>
  <si>
    <t>2450904008</t>
  </si>
  <si>
    <t>2451904009</t>
  </si>
  <si>
    <t>312605</t>
  </si>
  <si>
    <t>8241</t>
  </si>
  <si>
    <t>19920209</t>
  </si>
  <si>
    <t>16990454</t>
  </si>
  <si>
    <t>1303027459</t>
  </si>
  <si>
    <t>1209676237</t>
  </si>
  <si>
    <t>1021-1-452</t>
  </si>
  <si>
    <t>MT12005</t>
  </si>
  <si>
    <t>1021-1-403</t>
  </si>
  <si>
    <t>1021-1-395</t>
  </si>
  <si>
    <t>1016-2-456</t>
  </si>
  <si>
    <t>711049</t>
  </si>
  <si>
    <t>626070</t>
  </si>
  <si>
    <t>711042</t>
  </si>
  <si>
    <t>712210</t>
  </si>
  <si>
    <t>711044</t>
  </si>
  <si>
    <t>708721</t>
  </si>
  <si>
    <t>712208</t>
  </si>
  <si>
    <t>8537</t>
  </si>
  <si>
    <t>2000-302-07</t>
  </si>
  <si>
    <t>395601</t>
  </si>
  <si>
    <t>1016-2-445</t>
  </si>
  <si>
    <t>1025-1-178</t>
  </si>
  <si>
    <t>1025-1-182</t>
  </si>
  <si>
    <t>1016-2-432</t>
  </si>
  <si>
    <t>296912</t>
  </si>
  <si>
    <t>1029-1-334</t>
  </si>
  <si>
    <t>1021-1-367</t>
  </si>
  <si>
    <t>1016-2-362</t>
  </si>
  <si>
    <t>8163</t>
  </si>
  <si>
    <t>1029-1-316</t>
  </si>
  <si>
    <t>1016-2-313</t>
  </si>
  <si>
    <t>307907</t>
  </si>
  <si>
    <t>1016-2-385</t>
  </si>
  <si>
    <t>1021-1-337</t>
  </si>
  <si>
    <t>MO120001</t>
  </si>
  <si>
    <t>1016-2-341</t>
  </si>
  <si>
    <t>1029-1-324</t>
  </si>
  <si>
    <t>1016-2-339</t>
  </si>
  <si>
    <t>MT03007</t>
  </si>
  <si>
    <t>65907</t>
  </si>
  <si>
    <t>332803</t>
  </si>
  <si>
    <t>8188</t>
  </si>
  <si>
    <t>1025-1-245</t>
  </si>
  <si>
    <t>0084F12R</t>
  </si>
  <si>
    <t>0344D12R</t>
  </si>
  <si>
    <t>MM11045</t>
  </si>
  <si>
    <t>ZL01164</t>
  </si>
  <si>
    <t>MT02028</t>
  </si>
  <si>
    <t>285812</t>
  </si>
  <si>
    <t>MM04055</t>
  </si>
  <si>
    <t>1016-2-225</t>
  </si>
  <si>
    <t>7668</t>
  </si>
  <si>
    <t>260804</t>
  </si>
  <si>
    <t>S-RBA-3</t>
  </si>
  <si>
    <t>280000237</t>
  </si>
  <si>
    <t>S-RBA-2</t>
  </si>
  <si>
    <t>9110124000003510</t>
  </si>
  <si>
    <t>S-RBA-6</t>
  </si>
  <si>
    <t>G1313958</t>
  </si>
  <si>
    <t>HW281210</t>
  </si>
  <si>
    <t>S-RBA-5</t>
  </si>
  <si>
    <t>S-RBA-4</t>
  </si>
  <si>
    <t>9210105001102112</t>
  </si>
  <si>
    <t>290000211</t>
  </si>
  <si>
    <t>1016-2-186</t>
  </si>
  <si>
    <t>1029-1-317</t>
  </si>
  <si>
    <t>3661</t>
  </si>
  <si>
    <t>BG0079 (0.0283 MM)</t>
  </si>
  <si>
    <t>8085</t>
  </si>
  <si>
    <t>BG0059(0.0672 MM)</t>
  </si>
  <si>
    <t>BG0163(0.4959 MM)</t>
  </si>
  <si>
    <t>BG1591(0.040 mm)</t>
  </si>
  <si>
    <t>1021-1-166</t>
  </si>
  <si>
    <t>MM11072</t>
  </si>
  <si>
    <t>MM04012</t>
  </si>
  <si>
    <t>1021-1-155</t>
  </si>
  <si>
    <t>1016-2-120</t>
  </si>
  <si>
    <t>623592</t>
  </si>
  <si>
    <t>WD100049349</t>
  </si>
  <si>
    <t>1016-2-109</t>
  </si>
  <si>
    <t>1016-2-114</t>
  </si>
  <si>
    <t>881708</t>
  </si>
  <si>
    <t>1025-1-125</t>
  </si>
  <si>
    <t>MM06069</t>
  </si>
  <si>
    <t>127802</t>
  </si>
  <si>
    <t>1000-501-47</t>
  </si>
  <si>
    <t>1025-1-210</t>
  </si>
  <si>
    <t>279210</t>
  </si>
  <si>
    <t>88507</t>
  </si>
  <si>
    <t>4406</t>
  </si>
  <si>
    <t>S-MCD-01</t>
  </si>
  <si>
    <t>S-MCD-03</t>
  </si>
  <si>
    <t>S-MCD-05</t>
  </si>
  <si>
    <t>180000646</t>
  </si>
  <si>
    <t>290000128</t>
  </si>
  <si>
    <t>290000212</t>
  </si>
  <si>
    <t>HW281226</t>
  </si>
  <si>
    <t>S-MCD-02</t>
  </si>
  <si>
    <t>921 0112 00106 0612</t>
  </si>
  <si>
    <t>514</t>
  </si>
  <si>
    <t>G1226195</t>
  </si>
  <si>
    <t>114355</t>
  </si>
  <si>
    <t>S-MCD-04</t>
  </si>
  <si>
    <t>1000-510-53</t>
  </si>
  <si>
    <t>930012</t>
  </si>
  <si>
    <t>DZ10017</t>
  </si>
  <si>
    <t>4106</t>
  </si>
  <si>
    <t>MT020002</t>
  </si>
  <si>
    <t>5656</t>
  </si>
  <si>
    <t>326409</t>
  </si>
  <si>
    <t>5563</t>
  </si>
  <si>
    <t>1021-1-130</t>
  </si>
  <si>
    <t>12110237</t>
  </si>
  <si>
    <t>513004</t>
  </si>
  <si>
    <t>ZD03114</t>
  </si>
  <si>
    <t>1029-1-1077</t>
  </si>
  <si>
    <t>144506</t>
  </si>
  <si>
    <t>ZA03032</t>
  </si>
  <si>
    <t>7546</t>
  </si>
  <si>
    <t>137909</t>
  </si>
  <si>
    <t>261304</t>
  </si>
  <si>
    <t>262805</t>
  </si>
  <si>
    <t>P6910G11S</t>
  </si>
  <si>
    <t>312505</t>
  </si>
  <si>
    <t>8218</t>
  </si>
  <si>
    <t>MD050006</t>
  </si>
  <si>
    <t>17102925</t>
  </si>
  <si>
    <t>1029-1-231</t>
  </si>
  <si>
    <t>70905</t>
  </si>
  <si>
    <t>505805</t>
  </si>
  <si>
    <t>1000-403-02</t>
  </si>
  <si>
    <t>8417</t>
  </si>
  <si>
    <t>ZT03025</t>
  </si>
  <si>
    <t>714303</t>
  </si>
  <si>
    <t>5233</t>
  </si>
  <si>
    <t>7560</t>
  </si>
  <si>
    <t>1021-1-201</t>
  </si>
  <si>
    <t>309911</t>
  </si>
  <si>
    <t>MR11047</t>
  </si>
  <si>
    <t>7598</t>
  </si>
  <si>
    <t>7578</t>
  </si>
  <si>
    <t>5652</t>
  </si>
  <si>
    <t>439207</t>
  </si>
  <si>
    <t>O45103</t>
  </si>
  <si>
    <t>553911</t>
  </si>
  <si>
    <t>P6910G12S</t>
  </si>
  <si>
    <t>957909</t>
  </si>
  <si>
    <t>326009</t>
  </si>
  <si>
    <t>8531</t>
  </si>
  <si>
    <t>P6910G06S</t>
  </si>
  <si>
    <t>MT080002</t>
  </si>
  <si>
    <t>O5110590</t>
  </si>
  <si>
    <t>13030101</t>
  </si>
  <si>
    <t>P6910G07S</t>
  </si>
  <si>
    <t>ZO12171</t>
  </si>
  <si>
    <t>7521</t>
  </si>
  <si>
    <t>8234</t>
  </si>
  <si>
    <t>7210</t>
  </si>
  <si>
    <t>1021-1-372</t>
  </si>
  <si>
    <t>1021-1-489</t>
  </si>
  <si>
    <t>8173</t>
  </si>
  <si>
    <t>1029-1-868</t>
  </si>
  <si>
    <t>7592</t>
  </si>
  <si>
    <t>ZO02109</t>
  </si>
  <si>
    <t>1021-1-414</t>
  </si>
  <si>
    <t>1021-1-820</t>
  </si>
  <si>
    <t>316810</t>
  </si>
  <si>
    <t>MZ04013</t>
  </si>
  <si>
    <t>1000-201-21</t>
  </si>
  <si>
    <t>741404</t>
  </si>
  <si>
    <t>MR08036</t>
  </si>
  <si>
    <t>7449</t>
  </si>
  <si>
    <t>13030027</t>
  </si>
  <si>
    <t>MM11060</t>
  </si>
  <si>
    <t>455212</t>
  </si>
  <si>
    <t>ZD02048</t>
  </si>
  <si>
    <t>11111452</t>
  </si>
  <si>
    <t>968211</t>
  </si>
  <si>
    <t>141610</t>
  </si>
  <si>
    <t>1021-1-355</t>
  </si>
  <si>
    <t>1000-404-16</t>
  </si>
  <si>
    <t>7345</t>
  </si>
  <si>
    <t>890011</t>
  </si>
  <si>
    <t>858108</t>
  </si>
  <si>
    <t>100030803</t>
  </si>
  <si>
    <t>856006</t>
  </si>
  <si>
    <t>1000-203-50</t>
  </si>
  <si>
    <t>742008</t>
  </si>
  <si>
    <t>741508</t>
  </si>
  <si>
    <t>ZH06003</t>
  </si>
  <si>
    <t>1000-803-04</t>
  </si>
  <si>
    <t>1000-202-33</t>
  </si>
  <si>
    <t>O5110578</t>
  </si>
  <si>
    <t>O6070137</t>
  </si>
  <si>
    <t>505605</t>
  </si>
  <si>
    <t>461802</t>
  </si>
  <si>
    <t>ZS11174</t>
  </si>
  <si>
    <t>597A39052</t>
  </si>
  <si>
    <t>1911687/A</t>
  </si>
  <si>
    <t>OS080019</t>
  </si>
  <si>
    <t>1911664/A</t>
  </si>
  <si>
    <t>1911703/A</t>
  </si>
  <si>
    <t>OS060009</t>
  </si>
  <si>
    <t>72970417WS</t>
  </si>
  <si>
    <t>1911705/A</t>
  </si>
  <si>
    <t>330A04062</t>
  </si>
  <si>
    <t>689405</t>
  </si>
  <si>
    <t>065B84062</t>
  </si>
  <si>
    <t>1905</t>
  </si>
  <si>
    <t>1499</t>
  </si>
  <si>
    <t>26053064</t>
  </si>
  <si>
    <t>10074</t>
  </si>
  <si>
    <t>1909064/A</t>
  </si>
  <si>
    <t>689005</t>
  </si>
  <si>
    <t>345A57062</t>
  </si>
  <si>
    <t>347A98062</t>
  </si>
  <si>
    <t>1593</t>
  </si>
  <si>
    <t>1936207/A</t>
  </si>
  <si>
    <t>24101017</t>
  </si>
  <si>
    <t>1940131/A</t>
  </si>
  <si>
    <t>1909191/A</t>
  </si>
  <si>
    <t>OS060004</t>
  </si>
  <si>
    <t>30250896</t>
  </si>
  <si>
    <t>1909198/A</t>
  </si>
  <si>
    <t>1581</t>
  </si>
  <si>
    <t>602A05512</t>
  </si>
  <si>
    <t>OS060014</t>
  </si>
  <si>
    <t>26053065</t>
  </si>
  <si>
    <t>066B14062</t>
  </si>
  <si>
    <t>26043018</t>
  </si>
  <si>
    <t>1909206/A</t>
  </si>
  <si>
    <t>054B92152</t>
  </si>
  <si>
    <t>054B82152</t>
  </si>
  <si>
    <t>Ticket Number</t>
  </si>
  <si>
    <t>Status</t>
  </si>
  <si>
    <t>Real Due date</t>
  </si>
  <si>
    <t>Account Name</t>
  </si>
  <si>
    <t>City</t>
  </si>
  <si>
    <t>Product Name</t>
  </si>
  <si>
    <t>Ticket Type</t>
  </si>
  <si>
    <t>Assigned To</t>
  </si>
  <si>
    <t>Id</t>
  </si>
  <si>
    <t>ASM</t>
  </si>
  <si>
    <t>Due dates</t>
  </si>
  <si>
    <t>PMS.Serial Number</t>
  </si>
  <si>
    <t>PMS.Last PMS</t>
  </si>
  <si>
    <t>PMS.PMS-2</t>
  </si>
  <si>
    <t>PMS.PMS-3</t>
  </si>
  <si>
    <t>PMS.PMS-4</t>
  </si>
  <si>
    <t>Assigned</t>
  </si>
  <si>
    <t>Precise Speciality Eye Care-Adoor</t>
  </si>
  <si>
    <t>Adoor</t>
  </si>
  <si>
    <t>REVO 60</t>
  </si>
  <si>
    <t>PMS</t>
  </si>
  <si>
    <t>Jomon E T</t>
  </si>
  <si>
    <t>8ff56be9-dab5-4395-aa05-ecf430750165</t>
  </si>
  <si>
    <t>Rejish Baby</t>
  </si>
  <si>
    <t>Next 30 days</t>
  </si>
  <si>
    <t>Sri Prakash Eye Hospital (Appasamy Associates)</t>
  </si>
  <si>
    <t>Anantapur</t>
  </si>
  <si>
    <t>TMS-4N</t>
  </si>
  <si>
    <t>Bhaskar Reddy</t>
  </si>
  <si>
    <t>a57656ab-3c6c-47f9-9f80-153cb386b197</t>
  </si>
  <si>
    <t>Motty C Das</t>
  </si>
  <si>
    <t>Instrument at OEM Factory</t>
  </si>
  <si>
    <t>LITTLE FLOWER HOSPITAL</t>
  </si>
  <si>
    <t>ANGAMALY</t>
  </si>
  <si>
    <t>E-Eye</t>
  </si>
  <si>
    <t>Service</t>
  </si>
  <si>
    <t>c5dd31e3-6af7-4b9d-b700-5680e35600e7</t>
  </si>
  <si>
    <t>Overdue</t>
  </si>
  <si>
    <t>Abhi Eye Hospital</t>
  </si>
  <si>
    <t>ATTUR</t>
  </si>
  <si>
    <t>IDRA FULL</t>
  </si>
  <si>
    <t>Rajesh K M</t>
  </si>
  <si>
    <t>7715f5cd-4a37-4c4b-8cc8-12d7c89a4dce</t>
  </si>
  <si>
    <t>Jinson P J</t>
  </si>
  <si>
    <t>In Process</t>
  </si>
  <si>
    <t>BANGALORE</t>
  </si>
  <si>
    <t>Bibin Vijayan</t>
  </si>
  <si>
    <t>Escalated to Parent Company</t>
  </si>
  <si>
    <t>NARAYANA NETHRALAYA 4</t>
  </si>
  <si>
    <t>MS-39</t>
  </si>
  <si>
    <t>8c859be5-1fd8-468c-b08d-957e9a6beccc</t>
  </si>
  <si>
    <t>TOPOLYZER VARIO</t>
  </si>
  <si>
    <t>Manu Mohan</t>
  </si>
  <si>
    <t>Idrishti eye hospital</t>
  </si>
  <si>
    <t>Bangalore</t>
  </si>
  <si>
    <t>DGH 6000</t>
  </si>
  <si>
    <t>24c56cdc-a79b-4f40-930a-6e35c46d1272</t>
  </si>
  <si>
    <t>Ahamed Badhusha</t>
  </si>
  <si>
    <t>4915b4cd-9f45-48bb-ba92-664cea9ae267</t>
  </si>
  <si>
    <t>Warranty Claim Pending</t>
  </si>
  <si>
    <t>MINTO OPTHALMIC HOSPITAL</t>
  </si>
  <si>
    <t>EM-4000</t>
  </si>
  <si>
    <t>c72e2706-40af-4a93-835e-ab601af3a092</t>
  </si>
  <si>
    <t>Vasan Eye Care(Jayanagar)</t>
  </si>
  <si>
    <t>EVOLUTION 3E</t>
  </si>
  <si>
    <t>9c75b94a-e2d1-47e0-8e51-05344b792d83</t>
  </si>
  <si>
    <t>East point college of medical science</t>
  </si>
  <si>
    <t>Jinu John</t>
  </si>
  <si>
    <t>b57cc5b2-8ba5-4769-be30-79133e0b2592</t>
  </si>
  <si>
    <t>This week</t>
  </si>
  <si>
    <t>OA-2000</t>
  </si>
  <si>
    <t>DR.ZAMINDAR'S MICROSURGICAL EYE CENTRE main branch</t>
  </si>
  <si>
    <t>REVO FC</t>
  </si>
  <si>
    <t>822036e9-04d6-4143-aaa5-3e3456415f6d</t>
  </si>
  <si>
    <t>HS-2522BL</t>
  </si>
  <si>
    <t>HS-3041BL</t>
  </si>
  <si>
    <t>THE EYE FOUNDATION</t>
  </si>
  <si>
    <t>VITTALA SUPER SPECIALITY EYE HOSP.</t>
  </si>
  <si>
    <t>39326c03-d8b9-4da5-93bb-10d773f2413e</t>
  </si>
  <si>
    <t>Part Pending</t>
  </si>
  <si>
    <t>VIKRAM EYE CLINIC</t>
  </si>
  <si>
    <t>03420a92-60f1-46dc-863e-426209385bea</t>
  </si>
  <si>
    <t>FS200</t>
  </si>
  <si>
    <t>INSTITUTE OF DIABETES AND EYE CARE(NETHRADHAMA GROUP)</t>
  </si>
  <si>
    <t>HS-3241EO</t>
  </si>
  <si>
    <t>8712a5a4-85a8-4124-9d85-5b2ef6d7c294</t>
  </si>
  <si>
    <t>SRI EYE CARE</t>
  </si>
  <si>
    <t>6db6b8e4-a508-4123-8192-d311afb93686</t>
  </si>
  <si>
    <t>PRABHA EYE CLINIC</t>
  </si>
  <si>
    <t>EX500</t>
  </si>
  <si>
    <t>976820ca-31c7-48bd-ae6f-ceb06b1cb6a6</t>
  </si>
  <si>
    <t>NAVASHAKTI NETHRALAYA</t>
  </si>
  <si>
    <t>HS-3041BD</t>
  </si>
  <si>
    <t>c80421e6-4e67-43e9-8d10-329461717de8</t>
  </si>
  <si>
    <t>PTS 2000</t>
  </si>
  <si>
    <t>Shanmukha Netralaya</t>
  </si>
  <si>
    <t>Bapatla</t>
  </si>
  <si>
    <t>fa9b8382-b8b4-4c71-af7f-161d361eba43</t>
  </si>
  <si>
    <t>Under Observation</t>
  </si>
  <si>
    <t>JAMBAGI SUPER SPECIALITY EYE INSTITUTE</t>
  </si>
  <si>
    <t>Belgaum</t>
  </si>
  <si>
    <t>REVO HR</t>
  </si>
  <si>
    <t>2de730b6-cefb-4dde-963e-2cf24b10fa31</t>
  </si>
  <si>
    <t>SANKALP EYE CARE CENTRE</t>
  </si>
  <si>
    <t>BELGAUM</t>
  </si>
  <si>
    <t>HS-2321BD</t>
  </si>
  <si>
    <t>cdf6bde5-7ccd-48ea-bae9-2a7fb362cc88</t>
  </si>
  <si>
    <t>Pachette 4</t>
  </si>
  <si>
    <t>TRINITY EYE HOSPITAL</t>
  </si>
  <si>
    <t>CALICUT</t>
  </si>
  <si>
    <t>53557df9-b56d-40f3-99c9-51463a56d542</t>
  </si>
  <si>
    <t>COMTRUST CHARITABLE TRUST EYE HOSPITAL</t>
  </si>
  <si>
    <t>calicut</t>
  </si>
  <si>
    <t>Akhil Sreenivasan</t>
  </si>
  <si>
    <t>2a030ddc-87ff-4bce-99b3-0437a30146ab</t>
  </si>
  <si>
    <t>Ready to Review &amp; Close</t>
  </si>
  <si>
    <t>Installation</t>
  </si>
  <si>
    <t>Nigith K</t>
  </si>
  <si>
    <t>Manivannan D</t>
  </si>
  <si>
    <t>Enbio PRO</t>
  </si>
  <si>
    <t>SIRIUS</t>
  </si>
  <si>
    <t>MEDICAL RESEARCH FOUNDATION</t>
  </si>
  <si>
    <t>CHENNAI</t>
  </si>
  <si>
    <t>Arun Karthik</t>
  </si>
  <si>
    <t>APPASAMY ASSOCIATES_Factory_Ambattur</t>
  </si>
  <si>
    <t>Chennai</t>
  </si>
  <si>
    <t>0452523b-d0f0-41f8-b3fd-d11a836cbcac</t>
  </si>
  <si>
    <t>TWO M LASER SERVICE, CHENNAI</t>
  </si>
  <si>
    <t>8e805238-7bf4-4f6e-905c-a13611d71d62</t>
  </si>
  <si>
    <t>Medical Research Foundation (MESU Bus Guindy)</t>
  </si>
  <si>
    <t>e7b285aa-e853-488c-b5a9-ae10e5a9fcae</t>
  </si>
  <si>
    <t>ea728054-b3f8-467c-9c16-3e537f9eedb6</t>
  </si>
  <si>
    <t>AMRIT HOSPITAL Sowcarpet</t>
  </si>
  <si>
    <t>f7450dcd-6c65-42bb-9ec4-94801e50517e</t>
  </si>
  <si>
    <t>Charan Teja</t>
  </si>
  <si>
    <t>CENTER FOR EYE AND HEALTH CARE</t>
  </si>
  <si>
    <t>6815f451-831a-4a68-b840-873e9847b7a0</t>
  </si>
  <si>
    <t>SIRIUS+</t>
  </si>
  <si>
    <t>VIJAYA EYE FOUNDATION</t>
  </si>
  <si>
    <t>4da0d621-a54b-4034-a4e3-6bd341e479cd</t>
  </si>
  <si>
    <t>ARAVIND EYE HOSPITAL chennai</t>
  </si>
  <si>
    <t>1dc2a09a-c89f-4a4c-b488-ac5f2fafc6c4</t>
  </si>
  <si>
    <t>INDIRA EYE HOSPITAL</t>
  </si>
  <si>
    <t>fd73f241-c2cb-4c0e-9875-df96e5227bd0</t>
  </si>
  <si>
    <t>Pending from Customer end</t>
  </si>
  <si>
    <t>HS-1607SD</t>
  </si>
  <si>
    <t>DRR EYE HOSPITAL</t>
  </si>
  <si>
    <t>13ab707b-df2f-4910-ae2b-f99698322ce5</t>
  </si>
  <si>
    <t>374bf3a9-3e5a-4f4d-bdf3-82c82e713523</t>
  </si>
  <si>
    <t>AMRIT LASIK AND EYE SURGERY CENTRE</t>
  </si>
  <si>
    <t>Scheduled</t>
  </si>
  <si>
    <t>DARSHAN NETHRALAYA</t>
  </si>
  <si>
    <t>CHIKMANGALUR</t>
  </si>
  <si>
    <t>927c7b12-479d-401d-a6ba-00c81c3b4d23</t>
  </si>
  <si>
    <t>SARGOD EYE CARE</t>
  </si>
  <si>
    <t>48681bc7-3b91-44b2-a16a-a7e8fe5f1b5a</t>
  </si>
  <si>
    <t>COIMBATORE</t>
  </si>
  <si>
    <t>AGARWAL EYE HOSPITAL CBE</t>
  </si>
  <si>
    <t>b264443e-eb02-42e4-a7ad-cdac3b15ac57</t>
  </si>
  <si>
    <t>SRI KANCHI KAMAKOTI MEDICAL TRUST</t>
  </si>
  <si>
    <t>e55c58c6-3e4a-47b9-9da9-dc1afd0b0fd2</t>
  </si>
  <si>
    <t>LOTUS EYE HOSPITAL &amp; EYE INSTITUTE</t>
  </si>
  <si>
    <t>UV-X 1000</t>
  </si>
  <si>
    <t>f41f64fc-e71e-4776-a6fc-54a9bdbc56d6</t>
  </si>
  <si>
    <t>NAWALOKA HOSPITALS PLC</t>
  </si>
  <si>
    <t>COLOMBO</t>
  </si>
  <si>
    <t>2b26d5d6-4a9e-46f9-b517-e1de8409d070</t>
  </si>
  <si>
    <t>ARAVIND EYE HOSPITAL</t>
  </si>
  <si>
    <t>DINDIGUL</t>
  </si>
  <si>
    <t>HS-1321</t>
  </si>
  <si>
    <t>d199f00c-e67b-4f84-a056-722e159de65e</t>
  </si>
  <si>
    <t>ERODE</t>
  </si>
  <si>
    <t>Dhanasekar Ramar</t>
  </si>
  <si>
    <t>939ae84e-a307-4062-826b-de7146868f94</t>
  </si>
  <si>
    <t>K S EYE HOSPITAL</t>
  </si>
  <si>
    <t>a92ddab5-580b-481e-a0a2-71aa683daec7</t>
  </si>
  <si>
    <t>MM JOSHI EYE INSTITUTE koppal</t>
  </si>
  <si>
    <t>HOSPET</t>
  </si>
  <si>
    <t>7c2960e8-9421-491b-acb5-11166167d894</t>
  </si>
  <si>
    <t>The Eye foundation hosur</t>
  </si>
  <si>
    <t>Hosur</t>
  </si>
  <si>
    <t>d3b0cfcb-f89f-4ea0-8136-0b0e82898f1b</t>
  </si>
  <si>
    <t>Karnataka institute of medical science</t>
  </si>
  <si>
    <t>HUBLI</t>
  </si>
  <si>
    <t>bc6ff640-32cd-449f-ae47-e016e6b7cf36</t>
  </si>
  <si>
    <t>Hyderabad</t>
  </si>
  <si>
    <t>Purushottam Cholangi</t>
  </si>
  <si>
    <t>SRI SHANKARA NETHRALAYA</t>
  </si>
  <si>
    <t>HYDERABAD</t>
  </si>
  <si>
    <t>35852197-43a4-40a8-9410-eb4ec91c5b35</t>
  </si>
  <si>
    <t>3e92f775-15ad-4130-ae03-31653ededa11</t>
  </si>
  <si>
    <t>L V PRASAD EYE INSTITUTE Hyderabad</t>
  </si>
  <si>
    <t>CASIA2</t>
  </si>
  <si>
    <t>Ruppa Shravan</t>
  </si>
  <si>
    <t>3d3e6020-1b6f-4106-bf57-3ae91ce26fef</t>
  </si>
  <si>
    <t>PXL PLATINUM 330</t>
  </si>
  <si>
    <t>9901a9a8-2bca-4ec5-85b5-0f64e67806dc</t>
  </si>
  <si>
    <t>PROVISION NETHRA DIAGNOSTICS</t>
  </si>
  <si>
    <t>2c3b122f-ed77-426b-8750-1efd7c2ba1ca</t>
  </si>
  <si>
    <t>Ramesh lasik and laser centre suchitra</t>
  </si>
  <si>
    <t>4bfd9e23-0eff-4c19-8a52-80cc1ca990e3</t>
  </si>
  <si>
    <t>WIN VISION EYE HOSPITALS</t>
  </si>
  <si>
    <t>07a4a6c0-1b0e-4d47-a970-26735e708728</t>
  </si>
  <si>
    <t>4e025054-07c4-4300-88ed-a87700fe13af</t>
  </si>
  <si>
    <t>377b6b47-bc2a-4c66-bdac-a48db5252bd6</t>
  </si>
  <si>
    <t>VASAN EYE CARE SECUNDERABAD</t>
  </si>
  <si>
    <t>7a6d3a7e-1357-4244-a982-b71e76844d95</t>
  </si>
  <si>
    <t>ec85f73f-4b70-4ecf-b171-ddb89e307e63</t>
  </si>
  <si>
    <t>APOLLO HOSPITALS Hyderabad</t>
  </si>
  <si>
    <t>MR-6000</t>
  </si>
  <si>
    <t>424106</t>
  </si>
  <si>
    <t>a99920c7-8b34-4728-8082-af2ac8de4947</t>
  </si>
  <si>
    <t>ST JOSEPH EYE HOSPITAL</t>
  </si>
  <si>
    <t>Kanjirappally</t>
  </si>
  <si>
    <t>18182394-5da1-4da8-b36d-d6ed9c05bc2c</t>
  </si>
  <si>
    <t>DR.BHAT'S NETHRAJYOTHI EYE HOSPITAL</t>
  </si>
  <si>
    <t>KANNUR</t>
  </si>
  <si>
    <t>9763d562-0b63-4047-a1d5-9c413d56b194</t>
  </si>
  <si>
    <t>AHALIA FOUNDATION EYE HOSPITAL</t>
  </si>
  <si>
    <t>Kannur</t>
  </si>
  <si>
    <t>8838c18e-70c0-4cb7-a632-3a083b25048c</t>
  </si>
  <si>
    <t>DIRECTORATE OF HEALTH SERVICES(LAKSHADWEEP)</t>
  </si>
  <si>
    <t>KAVARATTI</t>
  </si>
  <si>
    <t>998d0288-5420-4dad-ba9e-5ca029dd0f3a</t>
  </si>
  <si>
    <t>18b9f91c-9b93-489f-8de1-f557bff25e47</t>
  </si>
  <si>
    <t>DR AGARWALS EYE HOSPITAL</t>
  </si>
  <si>
    <t>Kochi</t>
  </si>
  <si>
    <t>de6d1893-623b-4fc0-b861-ee8b43550a5b</t>
  </si>
  <si>
    <t>KOCHI</t>
  </si>
  <si>
    <t>6a890d35-d1f4-4539-bb39-d2888b1cb006</t>
  </si>
  <si>
    <t>INHS Sanjeevani</t>
  </si>
  <si>
    <t>fe0f2f27-7bee-40f9-a1db-1fecbd71f552</t>
  </si>
  <si>
    <t>331c1d0e-e04a-45f3-8593-95a4e6adf4dd</t>
  </si>
  <si>
    <t>SREEDHARREEYAM AYURVEDIC EYE HOSPITAL &amp; RESEARCH CENTRE</t>
  </si>
  <si>
    <t>PTS 1000</t>
  </si>
  <si>
    <t>379a18a8-95c8-4210-989b-c3dafc8565a4</t>
  </si>
  <si>
    <t>CARITAS HOSPITAL</t>
  </si>
  <si>
    <t>Kottayam</t>
  </si>
  <si>
    <t>477afd7b-ff12-43e2-946a-56e74f9856ec</t>
  </si>
  <si>
    <t>813e819c-2236-4b28-b3c9-320a35923c9e</t>
  </si>
  <si>
    <t>KOZHIKODE</t>
  </si>
  <si>
    <t>e0af8350-8453-47e9-8717-7d7b08976bd5</t>
  </si>
  <si>
    <t>DR ARVIND VISION CARE, Kumbakonam</t>
  </si>
  <si>
    <t>KUMBAKONAM</t>
  </si>
  <si>
    <t>c58c4f26-d3fd-491f-986a-04316ddd7ebc</t>
  </si>
  <si>
    <t>AARYA EYE CARE HOSPITAL</t>
  </si>
  <si>
    <t>Kunnamkulam</t>
  </si>
  <si>
    <t>25c0403f-def7-4e0e-b18a-2de2e8244ef5</t>
  </si>
  <si>
    <t>c1dbc580-4873-42f9-b151-5a20faf8e5c4</t>
  </si>
  <si>
    <t>798209ce-1429-4a80-a921-9210eb9cd078</t>
  </si>
  <si>
    <t>c7a640f4-1acc-45cc-9f31-a9738f9d2040</t>
  </si>
  <si>
    <t>Kurnool</t>
  </si>
  <si>
    <t>Baba Eye Hospital</t>
  </si>
  <si>
    <t>f349a511-e408-483f-8eca-5ad836a19832</t>
  </si>
  <si>
    <t>LVPEI NEELAKANTAPURAM</t>
  </si>
  <si>
    <t>Madakasira, Sri Satya Sai District</t>
  </si>
  <si>
    <t>dba55f73-2401-4dbd-b1d6-51ce8aaffbb7</t>
  </si>
  <si>
    <t>Ahalia Foundation Eye Hospital Kottakkal</t>
  </si>
  <si>
    <t>Malappuram</t>
  </si>
  <si>
    <t>7702415/A</t>
  </si>
  <si>
    <t>721334cc-1598-41e5-add4-38f60bb921ff</t>
  </si>
  <si>
    <t>Adichunchanagiri Hospital &amp; Research Centre</t>
  </si>
  <si>
    <t>Mandya</t>
  </si>
  <si>
    <t>3d782b0e-3f5a-4bbf-abea-cca8303ad00f</t>
  </si>
  <si>
    <t>AIIMS Mangalagiri</t>
  </si>
  <si>
    <t>Mangalagiri.</t>
  </si>
  <si>
    <t>e6375ee1-ce75-4724-80e5-4da6f45f013f</t>
  </si>
  <si>
    <t>NETHRADHAMA mangalore</t>
  </si>
  <si>
    <t>MANGALORE</t>
  </si>
  <si>
    <t>437b81df-0274-4138-9cd3-1d018b341924</t>
  </si>
  <si>
    <t>AJ MEDICAL COLLEGE HOSPITAL</t>
  </si>
  <si>
    <t>3551b758-4748-4fc5-8129-19853b0d8aad</t>
  </si>
  <si>
    <t>HS-1606VD</t>
  </si>
  <si>
    <t>94f10320-ad9c-4af2-8680-473f0b4f9399</t>
  </si>
  <si>
    <t>TWO M LASER SERVICE</t>
  </si>
  <si>
    <t>MUMBAI</t>
  </si>
  <si>
    <t>325a0f2d-7887-439d-8423-64b2ff7a8356</t>
  </si>
  <si>
    <t>New Vision Eye Hospital (Eye Foundation group)</t>
  </si>
  <si>
    <t>Mundakayam</t>
  </si>
  <si>
    <t>d0a1fe94-27af-4ce0-af62-638c97d05e2d</t>
  </si>
  <si>
    <t>14bc2698-7fdd-489e-8e82-7ce65446a755</t>
  </si>
  <si>
    <t>Parappuram's Smile Dental clinic</t>
  </si>
  <si>
    <t>Muvattupuzha</t>
  </si>
  <si>
    <t>561c7b8f-a9ab-4a42-8ea1-ba7b947b83f1</t>
  </si>
  <si>
    <t>SNEHA EYE HOSPITAL</t>
  </si>
  <si>
    <t>MYSORE</t>
  </si>
  <si>
    <t>aa4996fa-36bc-4975-b18b-2d7014ba545d</t>
  </si>
  <si>
    <t>BEJAN SINGH EYE HOSPITAL PVT.LTD.</t>
  </si>
  <si>
    <t>NAGARCOIL</t>
  </si>
  <si>
    <t>42cffdf3-1373-4487-a430-3dded1a72a0a</t>
  </si>
  <si>
    <t>NAYANA EYE CARE</t>
  </si>
  <si>
    <t>Nandyal</t>
  </si>
  <si>
    <t>EVOLUTION 3</t>
  </si>
  <si>
    <t>54c565cd-52e8-4bf3-b6c0-b1e32ceb5c9c</t>
  </si>
  <si>
    <t>3d2a587e-7594-4b33-b50d-d4abaec3d74f</t>
  </si>
  <si>
    <t>Dr Raja Sekhar eye hospital</t>
  </si>
  <si>
    <t>NELLORE</t>
  </si>
  <si>
    <t>3389291a-7ba7-49d4-923c-e898bbf0f067</t>
  </si>
  <si>
    <t>SUSEELA NETHRALAYA, Hyderabad</t>
  </si>
  <si>
    <t>Nellore</t>
  </si>
  <si>
    <t>520c3902-8e10-4ff0-b243-04fc714e7eb5</t>
  </si>
  <si>
    <t>PALAKKAD</t>
  </si>
  <si>
    <t>743ab4d1-d155-4c8b-82e6-12a185c59938</t>
  </si>
  <si>
    <t>75bbbb56-abfe-4436-8b53-cb1af3e81678</t>
  </si>
  <si>
    <t>Palakkad</t>
  </si>
  <si>
    <t>53619aea-a80c-4561-9ca2-a597d6a7b6b8</t>
  </si>
  <si>
    <t>Printo Ollukaran</t>
  </si>
  <si>
    <t>IZARA EYE HOSPITAL</t>
  </si>
  <si>
    <t>Pathanamthitta</t>
  </si>
  <si>
    <t>fbf2418d-7eaa-47e8-b393-cd29b7fb846c</t>
  </si>
  <si>
    <t>APPASAMY OCULAR DEVICES (P)LTD.</t>
  </si>
  <si>
    <t>PUDUCHERRY</t>
  </si>
  <si>
    <t>RS120A</t>
  </si>
  <si>
    <t>b95c5c81-0cc5-413b-a18f-5516f604cbc6</t>
  </si>
  <si>
    <t>ARCHANA EYE CARE</t>
  </si>
  <si>
    <t>Puducherry</t>
  </si>
  <si>
    <t>cc9ff2a1-aff7-4393-a428-ca0888ed5925</t>
  </si>
  <si>
    <t>ARAVIND EYE HOSPITAL-PONDICHERRY</t>
  </si>
  <si>
    <t>033a34e3-580e-4eb4-bee1-aed95bd98e10</t>
  </si>
  <si>
    <t>SANKAR'S EYE HOSPITAL</t>
  </si>
  <si>
    <t>PUNALUR</t>
  </si>
  <si>
    <t>fd1c08ef-b1d7-4c38-8fb3-11360b59e6f1</t>
  </si>
  <si>
    <t>MM JOSHI EYE INSTITUTE RAICHUR</t>
  </si>
  <si>
    <t>Raichur</t>
  </si>
  <si>
    <t>f3d77702-a08b-4848-af86-be1ad287f55a</t>
  </si>
  <si>
    <t>Dr Satyas Eye Hospital Rajahmundry</t>
  </si>
  <si>
    <t>Rajah undry</t>
  </si>
  <si>
    <t>ae4c38d6-1c2a-4ef8-b0de-a29e92d7cbd1</t>
  </si>
  <si>
    <t>Smart vision Rajahmundry</t>
  </si>
  <si>
    <t>Rajahmundry</t>
  </si>
  <si>
    <t>f7521245-cd97-489e-8166-d31148305f12</t>
  </si>
  <si>
    <t>Sree Sudha Netralaya</t>
  </si>
  <si>
    <t>Rangareddy</t>
  </si>
  <si>
    <t>a8f69077-1206-45fc-808f-62d081bff4e7</t>
  </si>
  <si>
    <t>ARUL EYE CARE</t>
  </si>
  <si>
    <t>SALEM</t>
  </si>
  <si>
    <t>d50302e8-16d8-4612-a56a-d01982ef2fef</t>
  </si>
  <si>
    <t>AGARWAL EYE HOSPITAL</t>
  </si>
  <si>
    <t>27197785-61ee-4aee-b23d-110e4ccc5574</t>
  </si>
  <si>
    <t>0434947e-5111-4345-9e8e-cd3a886932eb</t>
  </si>
  <si>
    <t>HS-2522SD</t>
  </si>
  <si>
    <t>686e526b-0825-4b31-92ee-2b3bd605380f</t>
  </si>
  <si>
    <t>MILITARY HOSPITAL - SECUNDERABAD</t>
  </si>
  <si>
    <t>Sankara eye hospital shimoga town</t>
  </si>
  <si>
    <t>SHIMOGA</t>
  </si>
  <si>
    <t>Antares+</t>
  </si>
  <si>
    <t>8a696302-e50f-499b-b24c-510a352644df</t>
  </si>
  <si>
    <t>SANKARA EYE HOSPITAL shimoga</t>
  </si>
  <si>
    <t>ff4ac684-f24e-449b-92e6-148e368fd0d4</t>
  </si>
  <si>
    <t>80b1f6c9-282a-454b-874c-4e68658034ce</t>
  </si>
  <si>
    <t>331ab9f1-773d-49b8-9d9b-5515eebc0c44</t>
  </si>
  <si>
    <t>SP-3000</t>
  </si>
  <si>
    <t>c2360074-ea49-47ad-826f-03967795e922</t>
  </si>
  <si>
    <t>Sapthagiri Eye Hospital</t>
  </si>
  <si>
    <t>Sindhanur</t>
  </si>
  <si>
    <t>febe8b67-3fd8-4558-8690-5cff994a7a69</t>
  </si>
  <si>
    <t>COMTRUST EYE HOSPITAL</t>
  </si>
  <si>
    <t>Thalassery</t>
  </si>
  <si>
    <t>ff12b402-cf2a-4132-a5db-f8d0e2a2c7d3</t>
  </si>
  <si>
    <t>EYE MICROSURGERY AND LASER CENTRE</t>
  </si>
  <si>
    <t>Thiruvalla</t>
  </si>
  <si>
    <t>c2bd5de7-0be3-4e47-9371-acbcd6b6d79c</t>
  </si>
  <si>
    <t>CHAITHANYA EYE HOSPITAL &amp; RESEARCH CENTRE</t>
  </si>
  <si>
    <t>THIRUVALLA</t>
  </si>
  <si>
    <t>3de0ec05-c3a1-4d34-ae83-ff5a31252cf9</t>
  </si>
  <si>
    <t>Chaithanya Sight Foundation Eye Hospital</t>
  </si>
  <si>
    <t>Thiruvananthapuram</t>
  </si>
  <si>
    <t>542cceb6-3329-4d28-9d78-9aaec3f51ac6</t>
  </si>
  <si>
    <t>I VISION EYE HOSPITAL</t>
  </si>
  <si>
    <t>Thrissur</t>
  </si>
  <si>
    <t>5446cfff-b794-404b-9bd1-3e888fbb5e6e</t>
  </si>
  <si>
    <t>TIRUNELVELI</t>
  </si>
  <si>
    <t>72a26857-2a40-4419-8a46-0616c7240b89</t>
  </si>
  <si>
    <t>67bda074-a43c-4ec2-9a80-ee50b7e510ac</t>
  </si>
  <si>
    <t>TIRUPATI</t>
  </si>
  <si>
    <t>TIRUPPUR</t>
  </si>
  <si>
    <t>Vels Medical College and Hospital</t>
  </si>
  <si>
    <t>Tiruvallur</t>
  </si>
  <si>
    <t>PMS,Service</t>
  </si>
  <si>
    <t>90237cdb-20bf-44fe-a073-3a74f4d12dc6</t>
  </si>
  <si>
    <t>Trichy</t>
  </si>
  <si>
    <t>The eye foundation</t>
  </si>
  <si>
    <t>d535b3f3-2c54-4166-b017-bbc7606bace5</t>
  </si>
  <si>
    <t>AGARWAL EYE HOSPITAL,TRICHY</t>
  </si>
  <si>
    <t>TRICHY</t>
  </si>
  <si>
    <t>486495bd-deb1-4c3a-9c0f-a9a96fd68f9c</t>
  </si>
  <si>
    <t>JOSEPH EYE HOSPITAL</t>
  </si>
  <si>
    <t>1e1c1d4b-f922-4ab6-bc01-9b6a391c5cfa</t>
  </si>
  <si>
    <t>TRIPUNITHURA</t>
  </si>
  <si>
    <t>329b51d0-bf3d-4104-a35e-ba173ae99d4e</t>
  </si>
  <si>
    <t>TRIVANDRUM</t>
  </si>
  <si>
    <t>PRS HOSPITAL PRIVATE LIMITED</t>
  </si>
  <si>
    <t>51c9e87f-7846-4b63-ab88-81d711d4170f</t>
  </si>
  <si>
    <t>79b489af-c705-4d45-908f-53da0f2c57dc</t>
  </si>
  <si>
    <t>KIMSHEALTH HOSPITAL</t>
  </si>
  <si>
    <t>d2c04bc8-8281-4e4e-95de-809e70efb072</t>
  </si>
  <si>
    <t>CHAITHANYA LASIK CENTRE</t>
  </si>
  <si>
    <t>RC-800</t>
  </si>
  <si>
    <t>8f2543b9-cece-41e5-ac86-2e5e7701ff19</t>
  </si>
  <si>
    <t>Trivandrum</t>
  </si>
  <si>
    <t>fb1be8fb-e7e5-4f5a-9ce5-6e2145239632</t>
  </si>
  <si>
    <t>9cbc3d4b-5b61-4372-aa23-0ed259b7f835</t>
  </si>
  <si>
    <t>Mookambika Modi Eye Hospital</t>
  </si>
  <si>
    <t>Tumakuru</t>
  </si>
  <si>
    <t>86d91062-c10d-4351-934e-43d8cfbb2601</t>
  </si>
  <si>
    <t>UDUPI</t>
  </si>
  <si>
    <t>CMC -SCHELL EYE HOSPITAL</t>
  </si>
  <si>
    <t>Vellore</t>
  </si>
  <si>
    <t>a9d7440c-92b7-480a-bbce-3746e489da32</t>
  </si>
  <si>
    <t>ANUGRAHA EYE HOSPITAL BIJAPUR</t>
  </si>
  <si>
    <t>Vijayapura</t>
  </si>
  <si>
    <t>ea681402-1ad3-483b-b9ce-9212d410dff6</t>
  </si>
  <si>
    <t>Sankara Netralayam Eye hospital</t>
  </si>
  <si>
    <t>Vijayawada</t>
  </si>
  <si>
    <t>dc278024-1049-4a6c-b5b5-6ee316330dae</t>
  </si>
  <si>
    <t>CHAITANYA EYE HOSPITAL VIJAYAWADA</t>
  </si>
  <si>
    <t>VIJAYAWADA</t>
  </si>
  <si>
    <t>56544e86-1a56-4622-b5d9-ac8468e5cbf9</t>
  </si>
  <si>
    <t>THE EYE FOUNDATION Vellore</t>
  </si>
  <si>
    <t>Viruthambet</t>
  </si>
  <si>
    <t>2266e173-051a-41a9-b634-db133e27a8b7</t>
  </si>
  <si>
    <t>SANKAR FOUNDATION EYE HOSPITAL</t>
  </si>
  <si>
    <t>VISAKHAPATNAM</t>
  </si>
  <si>
    <t>23db3f91-6426-4b91-829e-3e15fb677b64</t>
  </si>
  <si>
    <t>Swamy eye Hospital</t>
  </si>
  <si>
    <t>Vizianagaram</t>
  </si>
  <si>
    <t>e7c9a464-951f-4fbb-b9dc-9e292b9748a1</t>
  </si>
  <si>
    <t>ad5f8e9c-1ce0-4401-b543-18677602dac9</t>
  </si>
  <si>
    <t>7684be5d-081b-4a51-ae4b-f8f7da6d340e</t>
  </si>
  <si>
    <t>AL-4000</t>
  </si>
  <si>
    <t>a4d91883-bdc1-4ba2-9676-78b758715785</t>
  </si>
  <si>
    <t>Alcon Laboratories (India) Private Limited</t>
  </si>
  <si>
    <t>INNOVEYES SIGHTMAP</t>
  </si>
  <si>
    <t>1089-1-550</t>
  </si>
  <si>
    <t>Retrofit</t>
  </si>
  <si>
    <t>4dd12446-07ae-42de-9b6c-482ed3858687</t>
  </si>
  <si>
    <t>FSE</t>
  </si>
  <si>
    <t>Tickets</t>
  </si>
  <si>
    <t>Grand Total</t>
  </si>
  <si>
    <t>599A70152</t>
  </si>
  <si>
    <t>ZM07115</t>
  </si>
  <si>
    <t>349A18062</t>
  </si>
  <si>
    <t>1909232/A</t>
  </si>
  <si>
    <t>OS060001</t>
  </si>
  <si>
    <t>24120040</t>
  </si>
  <si>
    <t>24090999</t>
  </si>
  <si>
    <t>1594</t>
  </si>
  <si>
    <t>4f0e0431-ae27-4a49-9b6b-2ec0654f2245</t>
  </si>
  <si>
    <t>4b8bfc86-757f-473c-a90d-e6d71d28ab81</t>
  </si>
  <si>
    <t>Upgrade</t>
  </si>
  <si>
    <t>0a927ee9-d92d-4bda-9389-67ba70d230b2</t>
  </si>
  <si>
    <t>RAJAN EYE CARE HOSPITAL</t>
  </si>
  <si>
    <t>8c51a2fe-6231-4c84-bde3-28663994785c</t>
  </si>
  <si>
    <t>AARYA EYE CARE</t>
  </si>
  <si>
    <t>THRISSUR</t>
  </si>
  <si>
    <t>461ebb71-ae4b-47b0-a8a5-34ebce15bb17</t>
  </si>
  <si>
    <t>PMS,Upgrade</t>
  </si>
  <si>
    <t>Secunderabad</t>
  </si>
  <si>
    <t>2b17e4b1-9f6a-4409-a237-ecd596560ca3</t>
  </si>
  <si>
    <t>60310609-055f-4bdb-8288-4a748c92dc93</t>
  </si>
  <si>
    <t>SHEKAR EYE HOSPITAL</t>
  </si>
  <si>
    <t>520e6182-0068-4a00-a838-703855e37293</t>
  </si>
  <si>
    <t>GIRIDHAR EYE INSTITUTE</t>
  </si>
  <si>
    <t>Ernakulam</t>
  </si>
  <si>
    <t>20708657-116e-4094-9f71-7a075e17051d</t>
  </si>
  <si>
    <t>7f21e398-bc55-4363-ade7-5a6ccd21c23a</t>
  </si>
  <si>
    <t>VIJAYAM EYE CLINIC</t>
  </si>
  <si>
    <t>418a9bc7-b197-4ef4-8d16-edb4e8eb58cf</t>
  </si>
  <si>
    <t>688ba916-881b-4c48-ad9a-a495fe471f1c</t>
  </si>
  <si>
    <t>Installation,Demo</t>
  </si>
  <si>
    <t>b39fa1a8-ef6c-46b7-907b-950470c5569a</t>
  </si>
  <si>
    <t>24120042</t>
  </si>
  <si>
    <t>1897</t>
  </si>
  <si>
    <t>691606</t>
  </si>
  <si>
    <t>TVJ EYE HOSPITAL</t>
  </si>
  <si>
    <t>KOTHAMANGALAM</t>
  </si>
  <si>
    <t>5686e7ae-6543-4ea3-b6bc-e66e390095ed</t>
  </si>
  <si>
    <t>SANKAR FOUNDATION</t>
  </si>
  <si>
    <t>c0eb483e-d7a1-4509-b0cb-67e791c7a5ae</t>
  </si>
  <si>
    <t>American Laser Eye Hospital(AS Rao nagar)</t>
  </si>
  <si>
    <t>d77da867-6723-487c-a9e2-74d321311b3b</t>
  </si>
  <si>
    <t>Manipal Academy of Higher Education</t>
  </si>
  <si>
    <t>Manipal</t>
  </si>
  <si>
    <t>6d728da9-a2f9-4d8f-9827-edd902d7f191</t>
  </si>
  <si>
    <t>Active</t>
  </si>
  <si>
    <t>COMMAND HOSPITAL AIRFORCE BANGALORE</t>
  </si>
  <si>
    <t>c107a139-e46f-4461-9416-61185defd9cb</t>
  </si>
  <si>
    <t>I VISION EYE CARE CENTRE</t>
  </si>
  <si>
    <t>CHALAKUDY</t>
  </si>
  <si>
    <t>8116c2b0-a5a0-4ea0-a401-dfde72495d48</t>
  </si>
  <si>
    <t>SV.ARAVIND EYE HOSPITAL</t>
  </si>
  <si>
    <t>36e7de2c-896d-4b10-9c81-4b6ae6be5c6a</t>
  </si>
  <si>
    <t>SMART VISION EYE HOSPITAL Vijayawada.</t>
  </si>
  <si>
    <t>HS-2321VD</t>
  </si>
  <si>
    <t>da5849cc-8ada-4d7e-903a-71766c2d7ed4</t>
  </si>
  <si>
    <t>Anoop T J</t>
  </si>
  <si>
    <t>7a4d3932-68d7-43dc-ae5e-c8596bd15a72</t>
  </si>
  <si>
    <t>SL9900</t>
  </si>
  <si>
    <t>Dr AGARWALS EYE HOSPITAL MAGADI RD</t>
  </si>
  <si>
    <t>8fd561f0-9768-4935-9586-89333eee70b3</t>
  </si>
  <si>
    <t>DEVI SUPER SPECIALITY EYE HOSPITAL PVT.LTD.</t>
  </si>
  <si>
    <t>1908364</t>
  </si>
  <si>
    <t>8f873035-17e1-4a85-889a-610658d6d935</t>
  </si>
  <si>
    <t>Ticket Link</t>
  </si>
  <si>
    <t>Summary</t>
  </si>
  <si>
    <t>Lily Eye Institute(A unit of Clarividus OPC Private Limited)</t>
  </si>
  <si>
    <t>Karunagapally</t>
  </si>
  <si>
    <t>fd3e2912-a8fa-4cca-8392-e7e15177e930</t>
  </si>
  <si>
    <t>Jnanananda ophthalmic institute</t>
  </si>
  <si>
    <t>Bhimavaram</t>
  </si>
  <si>
    <t>50de88b2-de91-4117-8e6a-7fe557e5adf2</t>
  </si>
  <si>
    <t>DR AGARWALS EYE HOSPITALS-KAZHAKKOOTAM</t>
  </si>
  <si>
    <t>a37a9fb4-02c4-4f7b-854a-85199960bc26</t>
  </si>
  <si>
    <t>Iksha eye hospital madikeri</t>
  </si>
  <si>
    <t>Madikeri</t>
  </si>
  <si>
    <t>ec7fa336-1b67-460b-9f05-3785280fa87b</t>
  </si>
  <si>
    <t>SOMASUNDARAM EYE HOSPITAL</t>
  </si>
  <si>
    <t>Karur</t>
  </si>
  <si>
    <t>f03bdc16-56d6-4f6b-9885-7118fb4eb6e1</t>
  </si>
  <si>
    <t>RAYHAN EYE HOSPITAL &amp; LASIK CENTRE</t>
  </si>
  <si>
    <t>Edappal</t>
  </si>
  <si>
    <t>a1f1346e-cdc2-43dc-a299-a39cc233c918</t>
  </si>
  <si>
    <t>e97cbe7a-5757-41b7-a68a-2e45cae57071</t>
  </si>
  <si>
    <t>Dr. Agarwal's Eye Hospital - Rajamundry</t>
  </si>
  <si>
    <t>Rajamundry</t>
  </si>
  <si>
    <t>d183ab2b-4bb9-41e0-b5e0-307872c04e0b</t>
  </si>
  <si>
    <t>a506a7af-3c14-4c66-af52-fb552bb6cdd4</t>
  </si>
  <si>
    <t>NARAYANA NETHRALAYA 1</t>
  </si>
  <si>
    <t>7998028b-352d-4f1f-9434-9de622122c06</t>
  </si>
  <si>
    <t>e2e98779-a0e5-45ab-8f71-427220881856</t>
  </si>
  <si>
    <t>Manjunatha Nethralaya( Hesarghatta,BLR)</t>
  </si>
  <si>
    <t>Bengaluru</t>
  </si>
  <si>
    <t>702526c0-92ee-492e-84b4-9344b7e28016</t>
  </si>
  <si>
    <t>497e0167-82b7-4c39-a18e-e060ffd81d94</t>
  </si>
  <si>
    <t>e327839b-1cb8-4733-a93d-c0e88ecff7f5</t>
  </si>
  <si>
    <t>4254d2ff-76ca-42f4-a0c7-d042725fa9a7</t>
  </si>
  <si>
    <t>8ee3ebbe-81cc-439f-8f2b-427846f64494</t>
  </si>
  <si>
    <t>cf8cf98d-c2fc-461e-a4d2-89d3fb840093</t>
  </si>
  <si>
    <t>MN ENTERPRISES</t>
  </si>
  <si>
    <t>Pachmate 2</t>
  </si>
  <si>
    <t>df2fccd7-86b7-48f7-9d04-3e0aa36e1d46</t>
  </si>
  <si>
    <t>56b13467-07c4-486e-bc41-d8401b7e7b48</t>
  </si>
  <si>
    <t>ST. GREGORIOS MEDICAL MISSION HOSPITAL</t>
  </si>
  <si>
    <t>Parumala</t>
  </si>
  <si>
    <t>42db7127-251e-4dea-b71a-6775f0aad2b2</t>
  </si>
  <si>
    <t>Kottakkal Eye Care Llp</t>
  </si>
  <si>
    <t>2fe9dfdd-8292-4763-8cac-f513e5743417</t>
  </si>
  <si>
    <t>DR. AGARWAL'S HEALTH CARE LIMITED</t>
  </si>
  <si>
    <t>THENI</t>
  </si>
  <si>
    <t>257a8eef-8799-40aa-a01b-223a65916f20</t>
  </si>
  <si>
    <t>cbd724b7-b496-4784-a561-ada2012697e9</t>
  </si>
  <si>
    <t>c1156b94-43c5-465d-8629-49c6d3d48b42</t>
  </si>
  <si>
    <t>Bhanu Eye Care</t>
  </si>
  <si>
    <t>Visakhapatnam</t>
  </si>
  <si>
    <t>debd726f-cb8b-4109-af09-8724ce7f49f3</t>
  </si>
  <si>
    <t>SMART VISION EYE HOSPITAL MAIN BRANCH</t>
  </si>
  <si>
    <t>f70f8d0c-6e95-4e2a-b7f9-60b4a1662106</t>
  </si>
  <si>
    <t>Venkateswara Nursing Home</t>
  </si>
  <si>
    <t>Gudivada</t>
  </si>
  <si>
    <t>2bb828ff-ddb6-4ea9-92d9-5cd3574ef59c</t>
  </si>
  <si>
    <t>ca7bc3d5-9d99-450b-b728-184afcf018a1</t>
  </si>
  <si>
    <t>THRISHALA DEVI EYE HOSPITAL RABKAVI</t>
  </si>
  <si>
    <t>Rabkavi</t>
  </si>
  <si>
    <t>38c69ba6-8565-4d40-801e-eb2ac8e154c0</t>
  </si>
  <si>
    <t>DURGA NURSING HOME</t>
  </si>
  <si>
    <t>ONGOLE</t>
  </si>
  <si>
    <t>337b665b-ad4b-4670-8b87-ee150d1493ad</t>
  </si>
  <si>
    <t>88819214-3705-41cf-9c71-3008fae77a5c</t>
  </si>
  <si>
    <t>Tara Eye Care</t>
  </si>
  <si>
    <t>Guntur</t>
  </si>
  <si>
    <t>118bbb55-2744-457b-bb12-04584c83916b</t>
  </si>
  <si>
    <t>Y KISHAN RAO BALNAGAR LIONS EYE HOSPITAL</t>
  </si>
  <si>
    <t>74dd2d2c-9b67-41fc-8f5f-66843614296e</t>
  </si>
  <si>
    <t>f34ce841-9016-4574-8ed6-d35042031504</t>
  </si>
  <si>
    <t>c1113719-845c-4be3-ab42-9dadaffc1b15</t>
  </si>
  <si>
    <t>f9042c08-9b2b-4ebb-9256-a84aec6f3845</t>
  </si>
  <si>
    <t>Aravind Eye Hospital Salem New</t>
  </si>
  <si>
    <t>Salem</t>
  </si>
  <si>
    <t>37c6af93-0f03-457b-b6b2-7ed4dec07758</t>
  </si>
  <si>
    <t>7f6d1f40-7db0-4262-94d1-77afe089a8b2</t>
  </si>
  <si>
    <t>IDrishti super speciality eye hospital channapatna</t>
  </si>
  <si>
    <t>Channapatna</t>
  </si>
  <si>
    <t>b97413e8-ecf5-432b-a260-b48b5a24af03</t>
  </si>
  <si>
    <t>Agarwal Eye Hospital(Mahaboob Nagar)</t>
  </si>
  <si>
    <t>Mahabubnagar</t>
  </si>
  <si>
    <t>abbf8ae3-9308-45d3-863c-68cefa712a9f</t>
  </si>
  <si>
    <t>53799171-8a45-4e05-b798-3bf832db3bd0</t>
  </si>
  <si>
    <t>Kayamkulam</t>
  </si>
  <si>
    <t>380b6004-f21f-426b-beb8-0d2dd9de353e</t>
  </si>
  <si>
    <t>bbc517e4-c884-4a28-b637-5d69c46c2a5e</t>
  </si>
  <si>
    <t>SREE NARAYANA INSTITUTE OF MEDICAL SCIENCE</t>
  </si>
  <si>
    <t>Kunnukara</t>
  </si>
  <si>
    <t>10e0b446-b1ed-4668-a180-9dfc97e147c2</t>
  </si>
  <si>
    <t>Divya Prabha Eye Hospital</t>
  </si>
  <si>
    <t>14033b48-3f3d-494f-afed-ad5d1218effe</t>
  </si>
  <si>
    <t>HS-60SL</t>
  </si>
  <si>
    <t>6f79cfec-cd29-425f-aa94-296843f3ff15</t>
  </si>
  <si>
    <t>NETHRADHAMA</t>
  </si>
  <si>
    <t>b5f395a9-77f0-4366-9e88-0c5974f89855</t>
  </si>
  <si>
    <t>KRISHNA EYE FOUNDATION</t>
  </si>
  <si>
    <t>Dharmapuri</t>
  </si>
  <si>
    <t>fd45a8b0-da7f-4ca9-8725-1de3cba91346</t>
  </si>
  <si>
    <t>Om Sri Ram Eye Care &amp; Retina Centre</t>
  </si>
  <si>
    <t>RAJAHMUNDRY</t>
  </si>
  <si>
    <t>85e7592f-11b4-4a82-a53d-cb891b8515c2</t>
  </si>
  <si>
    <t>AHALIA FOUNDATION EYE HOSPITAL - Kollam</t>
  </si>
  <si>
    <t>KOLLAM</t>
  </si>
  <si>
    <t>6cddbb10-42b9-408b-bde9-ed483d57a709</t>
  </si>
  <si>
    <t>P K DAS Institue Of Medical Sciences</t>
  </si>
  <si>
    <t>Ottapalam</t>
  </si>
  <si>
    <t>3b7333fc-dfa3-4a8f-bfa0-2b888c53147d</t>
  </si>
  <si>
    <t>Eye care center davangere</t>
  </si>
  <si>
    <t>Davangere</t>
  </si>
  <si>
    <t>b4cb9a66-8f9f-423a-83f0-8d40e9591a2f</t>
  </si>
  <si>
    <t>c7d0339d-a548-407b-8592-70a615a08e4c</t>
  </si>
  <si>
    <t>DEVAPRASAD EYE HOSPITALS</t>
  </si>
  <si>
    <t>d74cdbc9-e24c-4993-b815-7fcd4ea2170a</t>
  </si>
  <si>
    <t>Balaji Eye Hospital(Chengalpet)</t>
  </si>
  <si>
    <t>Chengalpattu</t>
  </si>
  <si>
    <t>7b27de1c-7664-4b46-aaef-90b3043d57aa</t>
  </si>
  <si>
    <t>Visinova Retina Centre</t>
  </si>
  <si>
    <t>5f4690d1-cfd6-4de3-bf27-6a90ec197667</t>
  </si>
  <si>
    <t>JYOTHI - THE LASIK VISION CENTER</t>
  </si>
  <si>
    <t>38b286fc-9b50-4fac-bde6-82d139a466dd</t>
  </si>
  <si>
    <t>AMRIT MEDICARE PVT LTD</t>
  </si>
  <si>
    <t>0cd5bdcf-cc12-4a40-a383-aed264849e14</t>
  </si>
  <si>
    <t>MM JOSHI EYE INSTITUITE Dharwad</t>
  </si>
  <si>
    <t>DHARWAD</t>
  </si>
  <si>
    <t>30ff85bb-9919-4494-938e-d88919b25711</t>
  </si>
  <si>
    <t>3d9fe51a-7fe3-4125-8650-90541403b02d</t>
  </si>
  <si>
    <t>NAVYA NETRALAYA</t>
  </si>
  <si>
    <t>eb9c0bed-e067-4126-8d81-672cccdceda7</t>
  </si>
  <si>
    <t>63fb9d0b-8a25-4bf8-ab8b-7fb037d626c8</t>
  </si>
  <si>
    <t>1903ce76-9c30-4eb3-830f-35c2b01378b6</t>
  </si>
  <si>
    <t>ca368eb3-a7d3-4054-a979-19aa6484ad17</t>
  </si>
  <si>
    <t>ALPHONSA EYE HOSPITAL</t>
  </si>
  <si>
    <t>THODUPUZHA</t>
  </si>
  <si>
    <t>de624130-c229-4e2a-956e-7b477a720e30</t>
  </si>
  <si>
    <t>4c1824e2-cf53-4dde-b734-32f90637eda8</t>
  </si>
  <si>
    <t>Dr Kodkany's Eye Centre</t>
  </si>
  <si>
    <t>Belagavi</t>
  </si>
  <si>
    <t>a6107a4c-fe99-4281-9407-a7c3d6de9404</t>
  </si>
  <si>
    <t>132f0bd4-41fa-49de-9ed5-cd4988f34c33</t>
  </si>
  <si>
    <t>935ffdef-1857-48dc-aca3-c187ec6fdd78</t>
  </si>
  <si>
    <t>fed57b87-2707-420d-bb2a-dafe05012527</t>
  </si>
  <si>
    <t>Meenakshi eye care</t>
  </si>
  <si>
    <t>Karaikal</t>
  </si>
  <si>
    <t>d690a056-b7eb-419a-bf97-ce64aadce674</t>
  </si>
  <si>
    <t>Star Hospitals Nanakuramguda</t>
  </si>
  <si>
    <t>b41ddd21-df05-4630-afdf-017a688749b0</t>
  </si>
  <si>
    <t>12d735f9-0065-48df-80da-252ff9a7f038</t>
  </si>
  <si>
    <t>Orient Eye Hospital</t>
  </si>
  <si>
    <t>38a42ec8-bcb8-4ffb-920e-f972d5bb808a</t>
  </si>
  <si>
    <t>SCHIEFFELIN INSTITUTE OF HEALTH-RESEARCH &amp;LEPROSY CENTRE</t>
  </si>
  <si>
    <t>7c602781-8ca4-427d-9027-81ca929df825</t>
  </si>
  <si>
    <t>MM JOSHI EYE INSTITUTE JAMKHANDI</t>
  </si>
  <si>
    <t>Jamkandi</t>
  </si>
  <si>
    <t>a5b4b595-c18f-4d2d-9358-e77c365cc03c</t>
  </si>
  <si>
    <t>DR.SREEKANTH EYE CARE &amp; RESEARCH CENTRE</t>
  </si>
  <si>
    <t>1615e0d1-0f27-4be0-b251-50a338e1d4c9</t>
  </si>
  <si>
    <t>139f9108-0f51-43ef-a193-765323663eb2</t>
  </si>
  <si>
    <t>District Headquarters Hospital</t>
  </si>
  <si>
    <t>KANCHIPURAM</t>
  </si>
  <si>
    <t>2d123309-8727-4f03-a7b4-5dd4294dcaa8</t>
  </si>
  <si>
    <t>d37c83c9-0c17-4b59-a773-ed80aca3864f</t>
  </si>
  <si>
    <t>KAMAL EYE HOSPITAL</t>
  </si>
  <si>
    <t>GULBARGA</t>
  </si>
  <si>
    <t>REVO NX 130</t>
  </si>
  <si>
    <t>32f925a9-2954-4889-ac0b-ac5cc5d03add</t>
  </si>
  <si>
    <t>Dr.Anups Insight Eye Hospital</t>
  </si>
  <si>
    <t>ATTINGAL</t>
  </si>
  <si>
    <t>a7c8319c-176f-4f6a-af5a-deebae3e7b54</t>
  </si>
  <si>
    <t>Dr Ravishankar’s eye clinic</t>
  </si>
  <si>
    <t>fd4ca37d-1ce5-47b1-a588-c4aa0cc5726e</t>
  </si>
  <si>
    <t>RAMESH LASIK &amp; LASER CENTRE</t>
  </si>
  <si>
    <t>210fe123-cfee-4594-afc0-3ada0f1992f2</t>
  </si>
  <si>
    <t>Eye Foundation LTD (Retina Institute of Karnataka)</t>
  </si>
  <si>
    <t>fe651030-aaef-4477-80e0-c5997245c3bb</t>
  </si>
  <si>
    <t>Hyderabad Eye Hospital</t>
  </si>
  <si>
    <t>c007bb4c-6497-4884-a4f7-def716e5d9ea</t>
  </si>
  <si>
    <t>PSR EYE HOSPITAL</t>
  </si>
  <si>
    <t>1b5fe5d5-5656-4180-8bac-340ca2612a14</t>
  </si>
  <si>
    <t>MOULANA HOSPITAL</t>
  </si>
  <si>
    <t>PERINTHALMANNA</t>
  </si>
  <si>
    <t>FT-1000</t>
  </si>
  <si>
    <t>8e0ada06-94f5-4cb3-be35-417f1400cbe7</t>
  </si>
  <si>
    <t>d8028e02-ce66-4329-a007-1b4a1adc70ab</t>
  </si>
  <si>
    <t>NETHRADHAMA Mysore</t>
  </si>
  <si>
    <t>HS-3035BL</t>
  </si>
  <si>
    <t>3a479375-83b6-462d-931a-2c860efdc63f</t>
  </si>
  <si>
    <t>245e2973-df51-4a9e-a2a2-01019a10e052</t>
  </si>
  <si>
    <t>INHS KALYANI</t>
  </si>
  <si>
    <t>b2b387ed-e195-4625-8bff-b59e5217c28f</t>
  </si>
  <si>
    <t>NEDUMCHALIL EYE HOSPITAL</t>
  </si>
  <si>
    <t>0f35be20-24e8-4fb3-bb42-cc21df3ddb1d</t>
  </si>
  <si>
    <t>KOTTAYAM</t>
  </si>
  <si>
    <t>fc1f9a51-8a8d-4176-9806-008a591a6ca6</t>
  </si>
  <si>
    <t>127ead94-4a99-4a18-adb6-7d5729f69065</t>
  </si>
  <si>
    <t>ARAVIND EYE HOSPITAL ONGOLE</t>
  </si>
  <si>
    <t>f634656e-e22f-4891-8057-924c53e611bc</t>
  </si>
  <si>
    <t>ENVISION LASIK CENTRE</t>
  </si>
  <si>
    <t>a2167b30-ba80-44b5-8b14-4c1d0a8d1db9</t>
  </si>
  <si>
    <t>002b64a4-19e7-41b5-9b73-ec7966176348</t>
  </si>
  <si>
    <t>SENTHIL EYE CLINIC</t>
  </si>
  <si>
    <t>CHEYYAR</t>
  </si>
  <si>
    <t>7c4e032f-dd7d-4685-8cfb-194299f54fa2</t>
  </si>
  <si>
    <t>SJ EYE HOSPITAL</t>
  </si>
  <si>
    <t>5c126b89-42d3-426d-b2ea-71476d4a8101</t>
  </si>
  <si>
    <t>49874ce6-5942-46c8-9c85-d8e741e9e04b</t>
  </si>
  <si>
    <t>Surgery support</t>
  </si>
  <si>
    <t>e67ee722-f563-4303-a7b6-0bf8ed0c0966</t>
  </si>
  <si>
    <t>HARSHA SAI EYE HOSPITAL</t>
  </si>
  <si>
    <t>NIZAMABAD</t>
  </si>
  <si>
    <t>39c6d663-0bc0-4ed3-b51f-3a1d40ed44d9</t>
  </si>
  <si>
    <t>94ea2815-1375-4985-a29e-4914f0057931</t>
  </si>
  <si>
    <t>NARAYANA NETHRALAYA 2</t>
  </si>
  <si>
    <t>cc65d3d3-4456-48d8-bee3-1961f2183042</t>
  </si>
  <si>
    <t>39651c5e-46b3-4393-92fa-6ea7e08a6c63</t>
  </si>
  <si>
    <t>MADURAI</t>
  </si>
  <si>
    <t>UD-800</t>
  </si>
  <si>
    <t>a4a26f0e-b7f2-4b02-9013-b4c1a04383e1</t>
  </si>
  <si>
    <t>SL9900 ELITE</t>
  </si>
  <si>
    <t>ac8610ff-f0a0-4f67-89e1-e1eae50b0ec2</t>
  </si>
  <si>
    <t>97dbd1e3-daae-40e7-b44b-cea396eb3e81</t>
  </si>
  <si>
    <t>df03c133-781f-498b-b0d0-0f08a182350a</t>
  </si>
  <si>
    <t>AKIRA EYE HOSPITAL</t>
  </si>
  <si>
    <t>847848df-8fa3-4721-8a60-e0155c5ab679</t>
  </si>
  <si>
    <t>256a71f8-5579-49b6-928f-41e0a32b3c58</t>
  </si>
  <si>
    <t>d87a3d3a-2900-482f-9fc8-57567603a446</t>
  </si>
  <si>
    <t>PARVATHI MAHABALA SHETTY CHARITABLE TRUST</t>
  </si>
  <si>
    <t>bf3a7cef-4367-42e5-ba61-32d26f562ad7</t>
  </si>
  <si>
    <t>c77dc63c-5000-4675-8b4a-1d6e6dd6ddaf</t>
  </si>
  <si>
    <t>6d95396b-1bfe-4ae3-b1ba-d27bdaacf032</t>
  </si>
  <si>
    <t>1c79030c-d0eb-40f4-9bbb-20def427f44d</t>
  </si>
  <si>
    <t>2b51b5aa-6e64-4a4f-9e02-cc92e64526f4</t>
  </si>
  <si>
    <t>a40e6345-fd44-4beb-b700-809c84f591c6</t>
  </si>
  <si>
    <t>544be2f4-b844-4117-bcd9-3a4f92e0917f</t>
  </si>
  <si>
    <t>32dbb9f9-9b3b-41ab-b4d4-024e27a64083</t>
  </si>
  <si>
    <t>e0f46b86-9d52-4cce-b113-faf5c7a96a82</t>
  </si>
  <si>
    <t>918813fc-43a4-40e6-8a41-9c3054c822c1</t>
  </si>
  <si>
    <t>27d51b18-b85f-4029-9b9a-80be3b19269b</t>
  </si>
  <si>
    <t>JAYA EYE CLINIC</t>
  </si>
  <si>
    <t>2fa82667-ed4c-47d1-beee-c9caa291327a</t>
  </si>
  <si>
    <t>CCL-365 VARIO</t>
  </si>
  <si>
    <t>f8457dda-e449-4164-8067-838cd0468a90</t>
  </si>
  <si>
    <t>f99103fb-03aa-45bf-81bd-9720f8de0908</t>
  </si>
  <si>
    <t>AKSHARA EYE FOUNDATION</t>
  </si>
  <si>
    <t>TUMAKURU</t>
  </si>
  <si>
    <t>fc2cefc9-51d5-48b4-90ae-e0e8c4c0c172</t>
  </si>
  <si>
    <t>SHREE KAMALA NETRALAYA</t>
  </si>
  <si>
    <t>HS-60VD</t>
  </si>
  <si>
    <t>70b36681-d9a8-4875-a9d0-15f6a177ec76</t>
  </si>
  <si>
    <t>ROSHAN EYE CARE HOSPITAL</t>
  </si>
  <si>
    <t>6086bd4e-3ed0-4be5-806e-4d31f1a04c60</t>
  </si>
  <si>
    <t>UV-X 2000</t>
  </si>
  <si>
    <t>25839fca-b174-4dc8-ac4b-4dc51fa49511</t>
  </si>
  <si>
    <t>DR. RANI MENON EYE CLINIC (A unit of Maxivision Group)</t>
  </si>
  <si>
    <t>4f80beae-5178-47a2-aa4a-1026d96578ec</t>
  </si>
  <si>
    <t>bc346552-bb84-4095-a4ac-581089e041bc</t>
  </si>
  <si>
    <t>d96e25f7-5c43-44f0-87ef-afb9439849d0</t>
  </si>
  <si>
    <t>3bfe638f-83da-4b2b-8085-6f7dd3a571b0</t>
  </si>
  <si>
    <t>5b60344d-7d7e-47cc-b7b4-686be5491b7e</t>
  </si>
  <si>
    <t>a9947071-28e0-4b2b-854e-831c2892d8da</t>
  </si>
  <si>
    <t>OCULYZER II</t>
  </si>
  <si>
    <t>4cf1e88a-bbb4-463c-91fd-ce89e2e6e2f7</t>
  </si>
  <si>
    <t>IDRA</t>
  </si>
  <si>
    <t>I20190035</t>
  </si>
  <si>
    <t>e08552df-9be7-4875-b4de-7572dd0f7893</t>
  </si>
  <si>
    <t>fc5bd7f5-9e5c-4259-af79-9ea7a56490ea</t>
  </si>
  <si>
    <t>DO29AF001008 A018200003</t>
  </si>
  <si>
    <t>be765390-f74b-4fa6-9d6c-067d8037af1b</t>
  </si>
  <si>
    <t>SREE NETHRALAYA EYE HOSPITAL &amp; LASER CENTRE PVT.LTD.</t>
  </si>
  <si>
    <t>63c6521a-7bb9-4584-b9f2-5fcec211fca3</t>
  </si>
  <si>
    <t>SANKARA EYE HOSPITAL Bangalore</t>
  </si>
  <si>
    <t>40d32e81-8b3b-4fd6-920a-d4b688919323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</si>
</sst>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4" x14ac:knownFonts="1">
    <font>
      <sz val="11"/>
      <color theme="1"/>
      <name val="Aptos Narrow"/>
      <family val="2"/>
      <scheme val="minor"/>
    </font>
    <font>
      <sz val="28"/>
      <color rgb="FFFF0000"/>
      <name val="Aptos Narrow"/>
      <family val="2"/>
      <scheme val="minor"/>
    </font>
    <font>
      <sz val="8"/>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0" fillId="0" borderId="0" xfId="0" applyNumberFormat="1"/>
    <xf numFmtId="164" fontId="0" fillId="0" borderId="0" xfId="0" applyNumberFormat="1" applyAlignment="1">
      <alignment horizontal="center"/>
    </xf>
    <xf numFmtId="0" fontId="0" fillId="0" borderId="0" xfId="0" applyAlignment="1">
      <alignment horizontal="center"/>
    </xf>
    <xf numFmtId="0" fontId="0" fillId="0" borderId="0" xfId="0" applyNumberFormat="1" applyAlignment="1">
      <alignment horizontal="center"/>
    </xf>
    <xf numFmtId="0" fontId="0" fillId="0" borderId="0" xfId="0" pivotButton="1"/>
    <xf numFmtId="0" fontId="0" fillId="0" borderId="0" xfId="0" applyAlignment="1">
      <alignment horizontal="left"/>
    </xf>
    <xf numFmtId="0" fontId="1" fillId="0" borderId="0" xfId="0" applyFont="1" applyAlignment="1">
      <alignment horizontal="left"/>
    </xf>
    <xf numFmtId="14" fontId="0" fillId="0" borderId="0" xfId="0" applyNumberFormat="1"/>
    <xf numFmtId="164" fontId="0" fillId="0" borderId="0" xfId="0" applyNumberFormat="1"/>
    <xf numFmtId="164" fontId="3" fillId="0" borderId="0" xfId="1" applyNumberFormat="1"/>
  </cellXfs>
  <cellStyles count="2">
    <cellStyle name="Hyperlink" xfId="1" builtinId="8"/>
    <cellStyle name="Normal" xfId="0" builtinId="0"/>
  </cellStyles>
  <dxfs count="24">
    <dxf>
      <numFmt numFmtId="164" formatCode="[$-409]dd/mmm/yy;@"/>
    </dxf>
    <dxf>
      <numFmt numFmtId="164" formatCode="[$-409]dd/mmm/yy;@"/>
    </dxf>
    <dxf>
      <numFmt numFmtId="164" formatCode="[$-409]dd/mmm/yy;@"/>
    </dxf>
    <dxf>
      <numFmt numFmtId="164" formatCode="[$-409]dd/mmm/yy;@"/>
    </dxf>
    <dxf>
      <numFmt numFmtId="164" formatCode="[$-409]dd/mmm/yy;@"/>
    </dxf>
    <dxf>
      <numFmt numFmtId="164" formatCode="[$-409]dd/mmm/yy;@"/>
    </dxf>
    <dxf>
      <numFmt numFmtId="0" formatCode="General"/>
    </dxf>
    <dxf>
      <numFmt numFmtId="0" formatCode="General"/>
    </dxf>
    <dxf>
      <numFmt numFmtId="0" formatCode="Genera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dxf>
    <dxf>
      <numFmt numFmtId="0" formatCode="General"/>
    </dxf>
    <dxf>
      <numFmt numFmtId="164" formatCode="[$-409]dd/mmm/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font>
        <color rgb="FF9C0006"/>
      </font>
      <fill>
        <patternFill>
          <bgColor rgb="FFFFC7CE"/>
        </patternFill>
      </fill>
    </dxf>
    <dxf>
      <numFmt numFmtId="19" formatCode="dd/mm/yyyy"/>
    </dxf>
    <dxf>
      <numFmt numFmtId="19" formatCode="dd/mm/yyyy"/>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[04_Refresh_Daily_CRM_30_Days_Work_Planner.xlsx]Sheet1!PivotTable1</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Next 30</a:t>
            </a:r>
            <a:r>
              <a:rPr lang="en-US" baseline="0"/>
              <a:t> days assigned Works for FSE</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5">
              <a:lumMod val="60000"/>
              <a:lumOff val="40000"/>
            </a:schemeClr>
          </a:solidFill>
          <a:ln>
            <a:solidFill>
              <a:schemeClr val="bg1"/>
            </a:solidFill>
          </a:ln>
          <a:effectLst/>
          <a:scene3d>
            <a:camera prst="orthographicFront"/>
            <a:lightRig rig="threePt" dir="t"/>
          </a:scene3d>
          <a:sp3d prstMaterial="flat">
            <a:contourClr>
              <a:schemeClr val="bg1"/>
            </a:contourClr>
          </a:sp3d>
        </c:spPr>
        <c:marker>
          <c:symbol val="none"/>
        </c:marker>
        <c:dLbl>
          <c:idx val="0"/>
          <c:spPr>
            <a:solidFill>
              <a:schemeClr val="lt1"/>
            </a:solidFill>
            <a:ln w="190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Sheet1!$B$1</c:f>
              <c:strCache>
                <c:ptCount val="1"/>
                <c:pt idx="0">
                  <c:v>Total</c:v>
                </c:pt>
              </c:strCache>
            </c:strRef>
          </c:tx>
          <c:spPr>
            <a:solidFill>
              <a:schemeClr val="accent5">
                <a:lumMod val="60000"/>
                <a:lumOff val="40000"/>
              </a:schemeClr>
            </a:solidFill>
            <a:ln>
              <a:solidFill>
                <a:schemeClr val="bg1"/>
              </a:solidFill>
            </a:ln>
            <a:effectLst/>
            <a:scene3d>
              <a:camera prst="orthographicFront"/>
              <a:lightRig rig="threePt" dir="t"/>
            </a:scene3d>
            <a:sp3d prstMaterial="flat">
              <a:contourClr>
                <a:schemeClr val="bg1"/>
              </a:contourClr>
            </a:sp3d>
          </c:spPr>
          <c:invertIfNegative val="0"/>
          <c:dLbls>
            <c:spPr>
              <a:solidFill>
                <a:schemeClr val="lt1"/>
              </a:solidFill>
              <a:ln w="190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Sheet1!$A$2:$A$22</c:f>
              <c:strCache>
                <c:ptCount val="20"/>
                <c:pt idx="0">
                  <c:v>Jomon E T</c:v>
                </c:pt>
                <c:pt idx="1">
                  <c:v>Ahamed Badhusha</c:v>
                </c:pt>
                <c:pt idx="2">
                  <c:v>Jinu John</c:v>
                </c:pt>
                <c:pt idx="3">
                  <c:v>Jinson P J</c:v>
                </c:pt>
                <c:pt idx="4">
                  <c:v>Akhil Sreenivasan</c:v>
                </c:pt>
                <c:pt idx="5">
                  <c:v>Ruppa Shravan</c:v>
                </c:pt>
                <c:pt idx="6">
                  <c:v>Purushottam Cholangi</c:v>
                </c:pt>
                <c:pt idx="7">
                  <c:v>Charan Teja</c:v>
                </c:pt>
                <c:pt idx="8">
                  <c:v>Arun Karthik</c:v>
                </c:pt>
                <c:pt idx="9">
                  <c:v>Rajesh K M</c:v>
                </c:pt>
                <c:pt idx="10">
                  <c:v>Bhaskar Reddy</c:v>
                </c:pt>
                <c:pt idx="11">
                  <c:v>Manivannan D</c:v>
                </c:pt>
                <c:pt idx="12">
                  <c:v>Rejish Baby</c:v>
                </c:pt>
                <c:pt idx="13">
                  <c:v>Manu Mohan</c:v>
                </c:pt>
                <c:pt idx="14">
                  <c:v>Nigith K</c:v>
                </c:pt>
                <c:pt idx="15">
                  <c:v>Motty C Das</c:v>
                </c:pt>
                <c:pt idx="16">
                  <c:v>Bibin Vijayan</c:v>
                </c:pt>
                <c:pt idx="17">
                  <c:v>Dhanasekar Ramar</c:v>
                </c:pt>
                <c:pt idx="18">
                  <c:v>Anoop T J</c:v>
                </c:pt>
                <c:pt idx="19">
                  <c:v>Printo Ollukaran</c:v>
                </c:pt>
              </c:strCache>
            </c:strRef>
          </c:cat>
          <c:val>
            <c:numRef>
              <c:f>Sheet1!$B$2:$B$22</c:f>
              <c:numCache>
                <c:formatCode>General</c:formatCode>
                <c:ptCount val="20"/>
                <c:pt idx="0">
                  <c:v>50</c:v>
                </c:pt>
                <c:pt idx="1">
                  <c:v>36</c:v>
                </c:pt>
                <c:pt idx="2">
                  <c:v>27</c:v>
                </c:pt>
                <c:pt idx="3">
                  <c:v>24</c:v>
                </c:pt>
                <c:pt idx="4">
                  <c:v>23</c:v>
                </c:pt>
                <c:pt idx="5">
                  <c:v>18</c:v>
                </c:pt>
                <c:pt idx="6">
                  <c:v>16</c:v>
                </c:pt>
                <c:pt idx="7">
                  <c:v>15</c:v>
                </c:pt>
                <c:pt idx="8">
                  <c:v>15</c:v>
                </c:pt>
                <c:pt idx="9">
                  <c:v>14</c:v>
                </c:pt>
                <c:pt idx="10">
                  <c:v>14</c:v>
                </c:pt>
                <c:pt idx="11">
                  <c:v>13</c:v>
                </c:pt>
                <c:pt idx="12">
                  <c:v>12</c:v>
                </c:pt>
                <c:pt idx="13">
                  <c:v>10</c:v>
                </c:pt>
                <c:pt idx="14">
                  <c:v>8</c:v>
                </c:pt>
                <c:pt idx="15">
                  <c:v>7</c:v>
                </c:pt>
                <c:pt idx="16">
                  <c:v>6</c:v>
                </c:pt>
                <c:pt idx="17">
                  <c:v>3</c:v>
                </c:pt>
                <c:pt idx="18">
                  <c:v>1</c:v>
                </c:pt>
                <c:pt idx="19">
                  <c:v>1</c:v>
                </c:pt>
              </c:numCache>
            </c:numRef>
          </c:val>
          <c:extLst>
            <c:ext xmlns:c16="http://schemas.microsoft.com/office/drawing/2014/chart" uri="{C3380CC4-5D6E-409C-BE32-E72D297353CC}">
              <c16:uniqueId val="{00000000-BAE7-4C8C-B4E3-20F624131D6A}"/>
            </c:ext>
          </c:extLst>
        </c:ser>
        <c:dLbls>
          <c:showLegendKey val="0"/>
          <c:showVal val="1"/>
          <c:showCatName val="0"/>
          <c:showSerName val="0"/>
          <c:showPercent val="0"/>
          <c:showBubbleSize val="0"/>
        </c:dLbls>
        <c:gapWidth val="84"/>
        <c:gapDepth val="53"/>
        <c:shape val="box"/>
        <c:axId val="1552421600"/>
        <c:axId val="1552423520"/>
        <c:axId val="0"/>
      </c:bar3DChart>
      <c:catAx>
        <c:axId val="1552421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2423520"/>
        <c:crosses val="autoZero"/>
        <c:auto val="1"/>
        <c:lblAlgn val="ctr"/>
        <c:lblOffset val="100"/>
        <c:noMultiLvlLbl val="0"/>
      </c:catAx>
      <c:valAx>
        <c:axId val="1552423520"/>
        <c:scaling>
          <c:orientation val="minMax"/>
        </c:scaling>
        <c:delete val="1"/>
        <c:axPos val="l"/>
        <c:numFmt formatCode="General" sourceLinked="1"/>
        <c:majorTickMark val="out"/>
        <c:minorTickMark val="none"/>
        <c:tickLblPos val="nextTo"/>
        <c:crossAx val="1552421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3</xdr:col>
      <xdr:colOff>657225</xdr:colOff>
      <xdr:row>0</xdr:row>
      <xdr:rowOff>1514475</xdr:rowOff>
    </xdr:to>
    <mc:AlternateContent xmlns:mc="http://schemas.openxmlformats.org/markup-compatibility/2006" xmlns:sle15="http://schemas.microsoft.com/office/drawing/2012/slicer">
      <mc:Choice Requires="sle15">
        <xdr:graphicFrame macro="">
          <xdr:nvGraphicFramePr>
            <xdr:cNvPr id="2" name="Status">
              <a:extLst>
                <a:ext uri="{FF2B5EF4-FFF2-40B4-BE49-F238E27FC236}">
                  <a16:creationId xmlns:a16="http://schemas.microsoft.com/office/drawing/2014/main" id="{113CDC61-006B-C81A-479C-4E5AE754C229}"/>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0" y="0"/>
              <a:ext cx="4705350" cy="1512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708660</xdr:colOff>
      <xdr:row>0</xdr:row>
      <xdr:rowOff>0</xdr:rowOff>
    </xdr:from>
    <xdr:to>
      <xdr:col>3</xdr:col>
      <xdr:colOff>2602230</xdr:colOff>
      <xdr:row>0</xdr:row>
      <xdr:rowOff>1512000</xdr:rowOff>
    </xdr:to>
    <mc:AlternateContent xmlns:mc="http://schemas.openxmlformats.org/markup-compatibility/2006" xmlns:sle15="http://schemas.microsoft.com/office/drawing/2012/slicer">
      <mc:Choice Requires="sle15">
        <xdr:graphicFrame macro="">
          <xdr:nvGraphicFramePr>
            <xdr:cNvPr id="4" name="Ticket Type">
              <a:extLst>
                <a:ext uri="{FF2B5EF4-FFF2-40B4-BE49-F238E27FC236}">
                  <a16:creationId xmlns:a16="http://schemas.microsoft.com/office/drawing/2014/main" id="{43956D31-BF61-C767-767C-39E206506485}"/>
                </a:ext>
                <a:ext uri="{147F2762-F138-4A5C-976F-8EAC2B608ADB}">
                  <a16:predDERef xmlns:a16="http://schemas.microsoft.com/office/drawing/2014/main" pred="{113CDC61-006B-C81A-479C-4E5AE754C229}"/>
                </a:ext>
              </a:extLst>
            </xdr:cNvPr>
            <xdr:cNvGraphicFramePr/>
          </xdr:nvGraphicFramePr>
          <xdr:xfrm>
            <a:off x="0" y="0"/>
            <a:ext cx="0" cy="0"/>
          </xdr:xfrm>
          <a:graphic>
            <a:graphicData uri="http://schemas.microsoft.com/office/drawing/2010/slicer">
              <sle:slicer xmlns:sle="http://schemas.microsoft.com/office/drawing/2010/slicer" name="Ticket Type"/>
            </a:graphicData>
          </a:graphic>
        </xdr:graphicFrame>
      </mc:Choice>
      <mc:Fallback xmlns="">
        <xdr:sp macro="" textlink="">
          <xdr:nvSpPr>
            <xdr:cNvPr id="0" name=""/>
            <xdr:cNvSpPr>
              <a:spLocks noTextEdit="1"/>
            </xdr:cNvSpPr>
          </xdr:nvSpPr>
          <xdr:spPr>
            <a:xfrm>
              <a:off x="4737735" y="0"/>
              <a:ext cx="1893570" cy="1512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2638425</xdr:colOff>
      <xdr:row>0</xdr:row>
      <xdr:rowOff>0</xdr:rowOff>
    </xdr:from>
    <xdr:to>
      <xdr:col>7</xdr:col>
      <xdr:colOff>409575</xdr:colOff>
      <xdr:row>0</xdr:row>
      <xdr:rowOff>1514475</xdr:rowOff>
    </xdr:to>
    <mc:AlternateContent xmlns:mc="http://schemas.openxmlformats.org/markup-compatibility/2006" xmlns:sle15="http://schemas.microsoft.com/office/drawing/2012/slicer">
      <mc:Choice Requires="sle15">
        <xdr:graphicFrame macro="">
          <xdr:nvGraphicFramePr>
            <xdr:cNvPr id="5" name="Assigned To">
              <a:extLst>
                <a:ext uri="{FF2B5EF4-FFF2-40B4-BE49-F238E27FC236}">
                  <a16:creationId xmlns:a16="http://schemas.microsoft.com/office/drawing/2014/main" id="{C84376FE-6905-3451-EBE6-59006817DE5D}"/>
                </a:ext>
                <a:ext uri="{147F2762-F138-4A5C-976F-8EAC2B608ADB}">
                  <a16:predDERef xmlns:a16="http://schemas.microsoft.com/office/drawing/2014/main" pred="{43956D31-BF61-C767-767C-39E206506485}"/>
                </a:ext>
              </a:extLst>
            </xdr:cNvPr>
            <xdr:cNvGraphicFramePr/>
          </xdr:nvGraphicFramePr>
          <xdr:xfrm>
            <a:off x="0" y="0"/>
            <a:ext cx="0" cy="0"/>
          </xdr:xfrm>
          <a:graphic>
            <a:graphicData uri="http://schemas.microsoft.com/office/drawing/2010/slicer">
              <sle:slicer xmlns:sle="http://schemas.microsoft.com/office/drawing/2010/slicer" name="Assigned To"/>
            </a:graphicData>
          </a:graphic>
        </xdr:graphicFrame>
      </mc:Choice>
      <mc:Fallback xmlns="">
        <xdr:sp macro="" textlink="">
          <xdr:nvSpPr>
            <xdr:cNvPr id="0" name=""/>
            <xdr:cNvSpPr>
              <a:spLocks noTextEdit="1"/>
            </xdr:cNvSpPr>
          </xdr:nvSpPr>
          <xdr:spPr>
            <a:xfrm>
              <a:off x="6663690" y="0"/>
              <a:ext cx="6505575" cy="1512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438150</xdr:colOff>
      <xdr:row>0</xdr:row>
      <xdr:rowOff>0</xdr:rowOff>
    </xdr:from>
    <xdr:to>
      <xdr:col>10</xdr:col>
      <xdr:colOff>476249</xdr:colOff>
      <xdr:row>0</xdr:row>
      <xdr:rowOff>1512000</xdr:rowOff>
    </xdr:to>
    <mc:AlternateContent xmlns:mc="http://schemas.openxmlformats.org/markup-compatibility/2006" xmlns:sle15="http://schemas.microsoft.com/office/drawing/2012/slicer">
      <mc:Choice Requires="sle15">
        <xdr:graphicFrame macro="">
          <xdr:nvGraphicFramePr>
            <xdr:cNvPr id="6" name="ASM">
              <a:extLst>
                <a:ext uri="{FF2B5EF4-FFF2-40B4-BE49-F238E27FC236}">
                  <a16:creationId xmlns:a16="http://schemas.microsoft.com/office/drawing/2014/main" id="{75C31B4A-AD39-1912-E7BF-45058F45E153}"/>
                </a:ext>
                <a:ext uri="{147F2762-F138-4A5C-976F-8EAC2B608ADB}">
                  <a16:predDERef xmlns:a16="http://schemas.microsoft.com/office/drawing/2014/main" pred="{C84376FE-6905-3451-EBE6-59006817DE5D}"/>
                </a:ext>
              </a:extLst>
            </xdr:cNvPr>
            <xdr:cNvGraphicFramePr/>
          </xdr:nvGraphicFramePr>
          <xdr:xfrm>
            <a:off x="0" y="0"/>
            <a:ext cx="0" cy="0"/>
          </xdr:xfrm>
          <a:graphic>
            <a:graphicData uri="http://schemas.microsoft.com/office/drawing/2010/slicer">
              <sle:slicer xmlns:sle="http://schemas.microsoft.com/office/drawing/2010/slicer" name="ASM"/>
            </a:graphicData>
          </a:graphic>
        </xdr:graphicFrame>
      </mc:Choice>
      <mc:Fallback xmlns="">
        <xdr:sp macro="" textlink="">
          <xdr:nvSpPr>
            <xdr:cNvPr id="0" name=""/>
            <xdr:cNvSpPr>
              <a:spLocks noTextEdit="1"/>
            </xdr:cNvSpPr>
          </xdr:nvSpPr>
          <xdr:spPr>
            <a:xfrm>
              <a:off x="13173075" y="0"/>
              <a:ext cx="2333624" cy="1512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542924</xdr:colOff>
      <xdr:row>0</xdr:row>
      <xdr:rowOff>0</xdr:rowOff>
    </xdr:from>
    <xdr:to>
      <xdr:col>11</xdr:col>
      <xdr:colOff>923924</xdr:colOff>
      <xdr:row>0</xdr:row>
      <xdr:rowOff>1504950</xdr:rowOff>
    </xdr:to>
    <mc:AlternateContent xmlns:mc="http://schemas.openxmlformats.org/markup-compatibility/2006" xmlns:sle15="http://schemas.microsoft.com/office/drawing/2012/slicer">
      <mc:Choice Requires="sle15">
        <xdr:graphicFrame macro="">
          <xdr:nvGraphicFramePr>
            <xdr:cNvPr id="3" name="Due dates">
              <a:extLst>
                <a:ext uri="{FF2B5EF4-FFF2-40B4-BE49-F238E27FC236}">
                  <a16:creationId xmlns:a16="http://schemas.microsoft.com/office/drawing/2014/main" id="{D717C156-77DF-88F4-3FB1-5738B62E7E1A}"/>
                </a:ext>
                <a:ext uri="{147F2762-F138-4A5C-976F-8EAC2B608ADB}">
                  <a16:predDERef xmlns:a16="http://schemas.microsoft.com/office/drawing/2014/main" pred="{75C31B4A-AD39-1912-E7BF-45058F45E153}"/>
                </a:ext>
              </a:extLst>
            </xdr:cNvPr>
            <xdr:cNvGraphicFramePr/>
          </xdr:nvGraphicFramePr>
          <xdr:xfrm>
            <a:off x="0" y="0"/>
            <a:ext cx="0" cy="0"/>
          </xdr:xfrm>
          <a:graphic>
            <a:graphicData uri="http://schemas.microsoft.com/office/drawing/2010/slicer">
              <sle:slicer xmlns:sle="http://schemas.microsoft.com/office/drawing/2010/slicer" name="Due dates"/>
            </a:graphicData>
          </a:graphic>
        </xdr:graphicFrame>
      </mc:Choice>
      <mc:Fallback xmlns="">
        <xdr:sp macro="" textlink="">
          <xdr:nvSpPr>
            <xdr:cNvPr id="0" name=""/>
            <xdr:cNvSpPr>
              <a:spLocks noTextEdit="1"/>
            </xdr:cNvSpPr>
          </xdr:nvSpPr>
          <xdr:spPr>
            <a:xfrm>
              <a:off x="15573375" y="0"/>
              <a:ext cx="1219199" cy="15049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312420</xdr:colOff>
      <xdr:row>0</xdr:row>
      <xdr:rowOff>121920</xdr:rowOff>
    </xdr:from>
    <xdr:to>
      <xdr:col>18</xdr:col>
      <xdr:colOff>548640</xdr:colOff>
      <xdr:row>28</xdr:row>
      <xdr:rowOff>91440</xdr:rowOff>
    </xdr:to>
    <xdr:graphicFrame macro="">
      <xdr:nvGraphicFramePr>
        <xdr:cNvPr id="2" name="Chart 1">
          <a:extLst>
            <a:ext uri="{FF2B5EF4-FFF2-40B4-BE49-F238E27FC236}">
              <a16:creationId xmlns:a16="http://schemas.microsoft.com/office/drawing/2014/main" id="{AC08AED0-969A-AAAA-7053-B006B20C90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to P Ollukaran" refreshedDate="46326.771881828703" createdVersion="8" refreshedVersion="8" minRefreshableVersion="3" recordCount="313" xr:uid="{1D8F234B-0931-4E6F-9D88-DB884E1DE585}">
  <cacheSource type="worksheet">
    <worksheetSource name="Ticket3"/>
  </cacheSource>
  <cacheFields count="19">
    <cacheField name="Ticket Number" numFmtId="0">
      <sharedItems containsSemiMixedTypes="0" containsString="0" containsNumber="1" containsInteger="1" minValue="18157" maxValue="57105"/>
    </cacheField>
    <cacheField name="Status" numFmtId="0">
      <sharedItems/>
    </cacheField>
    <cacheField name="Real Due date" numFmtId="164">
      <sharedItems containsSemiMixedTypes="0" containsNonDate="0" containsDate="1" containsString="0" minDate="2025-08-12T00:00:00" maxDate="2026-12-01T00:00:00"/>
    </cacheField>
    <cacheField name="Account Name" numFmtId="0">
      <sharedItems/>
    </cacheField>
    <cacheField name="City" numFmtId="0">
      <sharedItems containsBlank="1"/>
    </cacheField>
    <cacheField name="Product Name" numFmtId="0">
      <sharedItems/>
    </cacheField>
    <cacheField name="Serial Number" numFmtId="0">
      <sharedItems/>
    </cacheField>
    <cacheField name="Ticket Type" numFmtId="0">
      <sharedItems/>
    </cacheField>
    <cacheField name="Assigned To" numFmtId="0">
      <sharedItems count="20">
        <s v="Jomon E T"/>
        <s v="Bhaskar Reddy"/>
        <s v="Rejish Baby"/>
        <s v="Rajesh K M"/>
        <s v="Bibin Vijayan"/>
        <s v="Manu Mohan"/>
        <s v="Ahamed Badhusha"/>
        <s v="Jinu John"/>
        <s v="Akhil Sreenivasan"/>
        <s v="Nigith K"/>
        <s v="Charan Teja"/>
        <s v="Arun Karthik"/>
        <s v="Manivannan D"/>
        <s v="Motty C Das"/>
        <s v="Jinson P J"/>
        <s v="Printo Ollukaran"/>
        <s v="Anoop T J"/>
        <s v="Dhanasekar Ramar"/>
        <s v="Purushottam Cholangi"/>
        <s v="Ruppa Shravan"/>
      </sharedItems>
    </cacheField>
    <cacheField name="Id" numFmtId="0">
      <sharedItems/>
    </cacheField>
    <cacheField name="ASM" numFmtId="0">
      <sharedItems containsBlank="1"/>
    </cacheField>
    <cacheField name="Due dates" numFmtId="0">
      <sharedItems/>
    </cacheField>
    <cacheField name="PMS.Serial Number" numFmtId="0">
      <sharedItems containsBlank="1"/>
    </cacheField>
    <cacheField name="PMS.Last PMS" numFmtId="164">
      <sharedItems containsNonDate="0" containsDate="1" containsString="0" containsBlank="1" minDate="2025-01-29T00:00:00" maxDate="2026-11-01T00:00:00"/>
    </cacheField>
    <cacheField name="PMS.PMS-2" numFmtId="164">
      <sharedItems containsNonDate="0" containsDate="1" containsString="0" containsBlank="1" minDate="2024-01-17T00:00:00" maxDate="2026-07-30T00:00:00"/>
    </cacheField>
    <cacheField name="PMS.PMS-3" numFmtId="164">
      <sharedItems containsNonDate="0" containsDate="1" containsString="0" containsBlank="1" minDate="2023-02-22T00:00:00" maxDate="2026-05-06T00:00:00"/>
    </cacheField>
    <cacheField name="PMS.PMS-4" numFmtId="164">
      <sharedItems containsNonDate="0" containsDate="1" containsString="0" containsBlank="1" minDate="2022-12-12T00:00:00" maxDate="2026-03-13T00:00:00"/>
    </cacheField>
    <cacheField name="Ticket Link" numFmtId="164">
      <sharedItems/>
    </cacheField>
    <cacheField name="Summary" numFmtId="164">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3">
  <r>
    <n v="18157"/>
    <s v="Assigned"/>
    <d v="2026-10-31T00:00:00"/>
    <s v="Precise Speciality Eye Care-Adoor"/>
    <s v="Adoor"/>
    <s v="REVO 60"/>
    <s v="1910830/X"/>
    <s v="PMS"/>
    <x v="0"/>
    <s v="8ff56be9-dab5-4395-aa05-ecf430750165"/>
    <s v="Rejish Baby"/>
    <s v="This week"/>
    <s v="1910830/X"/>
    <d v="2026-05-13T00:00:00"/>
    <d v="2025-11-25T00:00:00"/>
    <d v="2025-05-15T00:00:00"/>
    <d v="2024-11-18T00:00:00"/>
    <s v="https://mhmpl.sangamcrm.com/tickets/8ff56be9-dab5-4395-aa05-ecf430750165"/>
    <s v="Precise Speciality Eye Care-Adoor Adoor REVO 60 PMS "/>
  </r>
  <r>
    <n v="50122"/>
    <s v="Assigned"/>
    <d v="2026-10-31T00:00:00"/>
    <s v="Sri Prakash Eye Hospital (Appasamy Associates)"/>
    <s v="Anantapur"/>
    <s v="TMS-4N"/>
    <s v="683802"/>
    <s v="PMS"/>
    <x v="1"/>
    <s v="a57656ab-3c6c-47f9-9f80-153cb386b197"/>
    <s v="Motty C Das"/>
    <s v="This week"/>
    <s v="683802"/>
    <m/>
    <m/>
    <m/>
    <m/>
    <s v="https://mhmpl.sangamcrm.com/tickets/a57656ab-3c6c-47f9-9f80-153cb386b197"/>
    <s v="Sri Prakash Eye Hospital (Appasamy Associates) Anantapur TMS-4N PMS "/>
  </r>
  <r>
    <n v="52044"/>
    <s v="Instrument at OEM Factory"/>
    <d v="2026-07-09T00:00:00"/>
    <s v="LITTLE FLOWER HOSPITAL"/>
    <s v="ANGAMALY"/>
    <s v="E-Eye"/>
    <s v="D029AF001C08A021390020"/>
    <s v="Service"/>
    <x v="2"/>
    <s v="c5dd31e3-6af7-4b9d-b700-5680e35600e7"/>
    <s v="Rejish Baby"/>
    <s v="Overdue"/>
    <s v="D029AF001C08A021390020"/>
    <d v="2026-09-08T00:00:00"/>
    <d v="2026-04-02T00:00:00"/>
    <d v="2025-09-12T00:00:00"/>
    <m/>
    <s v="https://mhmpl.sangamcrm.com/tickets/c5dd31e3-6af7-4b9d-b700-5680e35600e7"/>
    <s v="LITTLE FLOWER HOSPITAL ANGAMALY E-Eye Service "/>
  </r>
  <r>
    <n v="52714"/>
    <s v="Assigned"/>
    <d v="2026-11-30T00:00:00"/>
    <s v="Dr.Anups Insight Eye Hospital"/>
    <s v="ATTINGAL"/>
    <s v="RC-800"/>
    <s v="200502"/>
    <s v="PMS"/>
    <x v="0"/>
    <s v="a7c8319c-176f-4f6a-af5a-deebae3e7b54"/>
    <s v="Rejish Baby"/>
    <s v="Next 30 days"/>
    <s v="200502"/>
    <d v="2026-05-07T00:00:00"/>
    <d v="2025-11-06T00:00:00"/>
    <d v="2023-02-22T00:00:00"/>
    <m/>
    <s v="https://mhmpl.sangamcrm.com/tickets/a7c8319c-176f-4f6a-af5a-deebae3e7b54"/>
    <s v="Dr.Anups Insight Eye Hospital ATTINGAL RC-800 PMS "/>
  </r>
  <r>
    <n v="49587"/>
    <s v="Assigned"/>
    <d v="2026-10-31T00:00:00"/>
    <s v="Abhi Eye Hospital"/>
    <s v="ATTUR"/>
    <s v="IDRA FULL"/>
    <s v="I20240186"/>
    <s v="PMS"/>
    <x v="3"/>
    <s v="7715f5cd-4a37-4c4b-8cc8-12d7c89a4dce"/>
    <s v="Jinson P J"/>
    <s v="This week"/>
    <s v="I20240186"/>
    <d v="2025-11-04T00:00:00"/>
    <m/>
    <m/>
    <m/>
    <s v="https://mhmpl.sangamcrm.com/tickets/7715f5cd-4a37-4c4b-8cc8-12d7c89a4dce"/>
    <s v="Abhi Eye Hospital ATTUR IDRA FULL PMS "/>
  </r>
  <r>
    <n v="55961"/>
    <s v="Escalated to Parent Company"/>
    <d v="2026-10-07T00:00:00"/>
    <s v="NARAYANA NETHRALAYA 4"/>
    <s v="BANGALORE"/>
    <s v="MS-39"/>
    <s v="26033416"/>
    <s v="Service"/>
    <x v="4"/>
    <s v="8c859be5-1fd8-468c-b08d-957e9a6beccc"/>
    <s v="Bibin Vijayan"/>
    <s v="Overdue"/>
    <s v="26033416"/>
    <m/>
    <m/>
    <m/>
    <m/>
    <s v="https://mhmpl.sangamcrm.com/tickets/8c859be5-1fd8-468c-b08d-957e9a6beccc"/>
    <s v="NARAYANA NETHRALAYA 4 BANGALORE MS-39 Service "/>
  </r>
  <r>
    <n v="57078"/>
    <s v="In Process"/>
    <d v="2026-10-30T00:00:00"/>
    <s v="NARAYANA NETHRALAYA 1"/>
    <s v="BANGALORE"/>
    <s v="EX500"/>
    <s v="1016-4-3873"/>
    <s v="Service"/>
    <x v="5"/>
    <s v="7998028b-352d-4f1f-9434-9de622122c06"/>
    <s v="Manu Mohan"/>
    <s v="Overdue"/>
    <s v="1016-4-3873"/>
    <m/>
    <m/>
    <m/>
    <m/>
    <s v="https://mhmpl.sangamcrm.com/tickets/7998028b-352d-4f1f-9434-9de622122c06"/>
    <s v="NARAYANA NETHRALAYA 1 BANGALORE EX500 Service "/>
  </r>
  <r>
    <n v="43599"/>
    <s v="Assigned"/>
    <d v="2026-10-31T00:00:00"/>
    <s v="Idrishti eye hospital"/>
    <s v="BANGALORE"/>
    <s v="DGH 6000"/>
    <s v="1462"/>
    <s v="PMS"/>
    <x v="5"/>
    <s v="24c56cdc-a79b-4f40-930a-6e35c46d1272"/>
    <s v="Manu Mohan"/>
    <s v="This week"/>
    <s v="1462"/>
    <m/>
    <m/>
    <m/>
    <m/>
    <s v="https://mhmpl.sangamcrm.com/tickets/24c56cdc-a79b-4f40-930a-6e35c46d1272"/>
    <s v="Idrishti eye hospital Bangalore DGH 6000 PMS "/>
  </r>
  <r>
    <n v="43598"/>
    <s v="Assigned"/>
    <d v="2026-06-29T00:00:00"/>
    <s v="Idrishti eye hospital"/>
    <s v="BANGALORE"/>
    <s v="DGH 6000"/>
    <s v="1462"/>
    <s v="PMS"/>
    <x v="6"/>
    <s v="4915b4cd-9f45-48bb-ba92-664cea9ae267"/>
    <s v="Manu Mohan"/>
    <s v="Overdue"/>
    <s v="1462"/>
    <m/>
    <m/>
    <m/>
    <m/>
    <s v="https://mhmpl.sangamcrm.com/tickets/4915b4cd-9f45-48bb-ba92-664cea9ae267"/>
    <s v="Idrishti eye hospital Bangalore DGH 6000 PMS "/>
  </r>
  <r>
    <n v="54219"/>
    <s v="Warranty Claim Pending"/>
    <d v="2026-09-04T00:00:00"/>
    <s v="MINTO OPTHALMIC HOSPITAL"/>
    <s v="BANGALORE"/>
    <s v="EM-4000"/>
    <s v="309A12152"/>
    <s v="Service"/>
    <x v="6"/>
    <s v="c72e2706-40af-4a93-835e-ab601af3a092"/>
    <s v="Manu Mohan"/>
    <s v="Overdue"/>
    <s v="309A12152"/>
    <d v="2026-06-25T00:00:00"/>
    <m/>
    <m/>
    <m/>
    <s v="https://mhmpl.sangamcrm.com/tickets/c72e2706-40af-4a93-835e-ab601af3a092"/>
    <s v="MINTO OPTHALMIC HOSPITAL BANGALORE EM-4000 Service "/>
  </r>
  <r>
    <n v="54939"/>
    <s v="Escalated to Parent Company"/>
    <d v="2026-09-15T00:00:00"/>
    <s v="Vasan Eye Care(Jayanagar)"/>
    <s v="BANGALORE"/>
    <s v="EVOLUTION 3E"/>
    <s v="9869"/>
    <s v="Service"/>
    <x v="5"/>
    <s v="9c75b94a-e2d1-47e0-8e51-05344b792d83"/>
    <s v="Manu Mohan"/>
    <s v="Overdue"/>
    <s v="9869"/>
    <d v="2026-05-07T00:00:00"/>
    <d v="2025-12-21T00:00:00"/>
    <m/>
    <m/>
    <s v="https://mhmpl.sangamcrm.com/tickets/9c75b94a-e2d1-47e0-8e51-05344b792d83"/>
    <s v="Vasan Eye Care(Jayanagar) BANGALORE EVOLUTION 3E Service "/>
  </r>
  <r>
    <n v="51294"/>
    <s v="Assigned"/>
    <d v="2026-11-30T00:00:00"/>
    <s v="INSTITUTE OF DIABETES AND EYE CARE(NETHRADHAMA GROUP)"/>
    <s v="BANGALORE"/>
    <s v="HS-60SL"/>
    <s v="OD05006"/>
    <s v="PMS"/>
    <x v="7"/>
    <s v="6f79cfec-cd29-425f-aa94-296843f3ff15"/>
    <s v="Manu Mohan"/>
    <s v="Next 30 days"/>
    <s v="OD05006"/>
    <d v="2026-04-04T00:00:00"/>
    <d v="2025-11-22T00:00:00"/>
    <m/>
    <m/>
    <s v="https://mhmpl.sangamcrm.com/tickets/6f79cfec-cd29-425f-aa94-296843f3ff15"/>
    <s v="INSTITUTE OF DIABETES AND EYE CARE(NETHRADHAMA GROUP) BANGALORE HS-60SL PMS "/>
  </r>
  <r>
    <n v="51160"/>
    <s v="Assigned"/>
    <d v="2026-11-30T00:00:00"/>
    <s v="NETHRADHAMA"/>
    <s v="BANGALORE"/>
    <s v="EM-4000"/>
    <s v="411203"/>
    <s v="PMS"/>
    <x v="6"/>
    <s v="b5f395a9-77f0-4366-9e88-0c5974f89855"/>
    <s v="Manu Mohan"/>
    <s v="Next 30 days"/>
    <s v="411203"/>
    <d v="2026-04-04T00:00:00"/>
    <d v="2025-11-18T00:00:00"/>
    <m/>
    <m/>
    <s v="https://mhmpl.sangamcrm.com/tickets/b5f395a9-77f0-4366-9e88-0c5974f89855"/>
    <s v="NETHRADHAMA BANGALORE EM-4000 PMS "/>
  </r>
  <r>
    <n v="49888"/>
    <s v="Assigned"/>
    <d v="2026-10-31T00:00:00"/>
    <s v="East point college of medical science"/>
    <s v="BANGALORE"/>
    <s v="EM-4000"/>
    <s v="567804"/>
    <s v="PMS"/>
    <x v="7"/>
    <s v="b57cc5b2-8ba5-4769-be30-79133e0b2592"/>
    <s v="Manu Mohan"/>
    <s v="This week"/>
    <s v="567804"/>
    <d v="2026-05-07T00:00:00"/>
    <d v="2026-01-09T00:00:00"/>
    <m/>
    <m/>
    <s v="https://mhmpl.sangamcrm.com/tickets/b57cc5b2-8ba5-4769-be30-79133e0b2592"/>
    <s v="East point college of medical science BANGALORE EM-4000 PMS "/>
  </r>
  <r>
    <n v="42744"/>
    <s v="Assigned"/>
    <d v="2026-10-31T00:00:00"/>
    <s v="DR.ZAMINDAR'S MICROSURGICAL EYE CENTRE main branch"/>
    <s v="BANGALORE"/>
    <s v="REVO FC"/>
    <s v="1907165/Y"/>
    <s v="PMS"/>
    <x v="6"/>
    <s v="822036e9-04d6-4143-aaa5-3e3456415f6d"/>
    <s v="Manu Mohan"/>
    <s v="This week"/>
    <s v="1907165/Y"/>
    <d v="2026-06-28T00:00:00"/>
    <d v="2025-11-22T00:00:00"/>
    <d v="2025-03-28T00:00:00"/>
    <m/>
    <s v="https://mhmpl.sangamcrm.com/tickets/822036e9-04d6-4143-aaa5-3e3456415f6d"/>
    <s v="DR.ZAMINDAR'S MICROSURGICAL EYE CENTRE main branch BANGALORE REVO FC PMS "/>
  </r>
  <r>
    <n v="56889"/>
    <s v="Assigned"/>
    <d v="2026-11-30T00:00:00"/>
    <s v="JYOTHI - THE LASIK VISION CENTER"/>
    <s v="BANGALORE"/>
    <s v="EM-4000"/>
    <s v="360605"/>
    <s v="PMS"/>
    <x v="6"/>
    <s v="38b286fc-9b50-4fac-bde6-82d139a466dd"/>
    <s v="Manu Mohan"/>
    <s v="Next 30 days"/>
    <s v="360605"/>
    <d v="2026-01-15T00:00:00"/>
    <d v="2025-06-06T00:00:00"/>
    <d v="2024-12-24T00:00:00"/>
    <d v="2024-06-03T00:00:00"/>
    <s v="https://mhmpl.sangamcrm.com/tickets/38b286fc-9b50-4fac-bde6-82d139a466dd"/>
    <s v="JYOTHI - THE LASIK VISION CENTER BANGALORE EM-4000 PMS "/>
  </r>
  <r>
    <n v="34737"/>
    <s v="Assigned"/>
    <d v="2026-11-30T00:00:00"/>
    <s v="DEVI SUPER SPECIALITY EYE HOSPITAL PVT.LTD."/>
    <s v="BANGALORE"/>
    <s v="EX500"/>
    <s v="1016-4-3565"/>
    <s v="PMS"/>
    <x v="5"/>
    <s v="63fb9d0b-8a25-4bf8-ab8b-7fb037d626c8"/>
    <s v="Manu Mohan"/>
    <s v="Next 30 days"/>
    <s v="1016-4-3565"/>
    <d v="2026-07-10T00:00:00"/>
    <d v="2025-12-04T00:00:00"/>
    <d v="2025-06-26T00:00:00"/>
    <d v="2024-12-05T00:00:00"/>
    <s v="https://mhmpl.sangamcrm.com/tickets/63fb9d0b-8a25-4bf8-ab8b-7fb037d626c8"/>
    <s v="DEVI SUPER SPECIALITY EYE HOSPITAL PVT.LTD. BANGALORE EX500 PMS "/>
  </r>
  <r>
    <n v="37643"/>
    <s v="Active"/>
    <d v="2026-10-31T00:00:00"/>
    <s v="COMMAND HOSPITAL AIRFORCE BANGALORE"/>
    <s v="BANGALORE"/>
    <s v="AL-4000"/>
    <s v="342110"/>
    <s v="PMS"/>
    <x v="5"/>
    <s v="a4d91883-bdc1-4ba2-9676-78b758715785"/>
    <s v="Manu Mohan"/>
    <s v="This week"/>
    <s v="342110"/>
    <d v="2026-05-13T00:00:00"/>
    <d v="2025-11-21T00:00:00"/>
    <d v="2025-06-10T00:00:00"/>
    <d v="2024-12-27T00:00:00"/>
    <s v="https://mhmpl.sangamcrm.com/tickets/a4d91883-bdc1-4ba2-9676-78b758715785"/>
    <s v="COMMAND HOSPITAL AIRFORCE BANGALORE BANGALORE AL-4000 PMS "/>
  </r>
  <r>
    <n v="56820"/>
    <s v="Assigned"/>
    <d v="2026-11-30T00:00:00"/>
    <s v="Eye Foundation LTD (Retina Institute of Karnataka)"/>
    <s v="BANGALORE"/>
    <s v="HS-2522BL"/>
    <s v="OO010079"/>
    <s v="PMS"/>
    <x v="7"/>
    <s v="fe651030-aaef-4477-80e0-c5997245c3bb"/>
    <s v="Manu Mohan"/>
    <s v="Next 30 days"/>
    <s v="OO010079"/>
    <d v="2026-10-26T00:00:00"/>
    <d v="2026-01-24T00:00:00"/>
    <d v="2025-06-10T00:00:00"/>
    <d v="2024-11-18T00:00:00"/>
    <s v="https://mhmpl.sangamcrm.com/tickets/fe651030-aaef-4477-80e0-c5997245c3bb"/>
    <s v="Eye Foundation LTD (Retina Institute of Karnataka) BANGALORE HS-2522BL PMS "/>
  </r>
  <r>
    <n v="50978"/>
    <s v="Assigned"/>
    <d v="2026-11-30T00:00:00"/>
    <s v="COMMAND HOSPITAL AIRFORCE BANGALORE"/>
    <s v="BANGALORE"/>
    <s v="EM-4000"/>
    <s v="91702"/>
    <s v="PMS"/>
    <x v="7"/>
    <s v="127ead94-4a99-4a18-adb6-7d5729f69065"/>
    <s v="Manu Mohan"/>
    <s v="Next 30 days"/>
    <s v="91702"/>
    <d v="2026-08-22T00:00:00"/>
    <d v="2026-06-20T00:00:00"/>
    <d v="2026-03-20T00:00:00"/>
    <d v="2025-06-25T00:00:00"/>
    <s v="https://mhmpl.sangamcrm.com/tickets/127ead94-4a99-4a18-adb6-7d5729f69065"/>
    <s v="COMMAND HOSPITAL AIRFORCE BANGALORE BANGALORE EM-4000 PMS "/>
  </r>
  <r>
    <n v="42437"/>
    <s v="Assigned"/>
    <d v="2026-10-31T00:00:00"/>
    <s v="VITTALA SUPER SPECIALITY EYE HOSP."/>
    <s v="BANGALORE"/>
    <s v="EM-4000"/>
    <s v="983112"/>
    <s v="PMS"/>
    <x v="7"/>
    <s v="39326c03-d8b9-4da5-93bb-10d773f2413e"/>
    <s v="Manu Mohan"/>
    <s v="This week"/>
    <s v="983112"/>
    <d v="2026-02-09T00:00:00"/>
    <d v="2025-10-06T00:00:00"/>
    <d v="2025-04-08T00:00:00"/>
    <d v="2024-09-20T00:00:00"/>
    <s v="https://mhmpl.sangamcrm.com/tickets/39326c03-d8b9-4da5-93bb-10d773f2413e"/>
    <s v="VITTALA SUPER SPECIALITY EYE HOSP. BANGALORE EM-4000 PMS "/>
  </r>
  <r>
    <n v="52353"/>
    <s v="Assigned"/>
    <d v="2026-10-31T00:00:00"/>
    <s v="VIKRAM EYE CLINIC"/>
    <s v="BANGALORE"/>
    <s v="HS-3041BL"/>
    <s v="MA040076"/>
    <s v="PMS"/>
    <x v="6"/>
    <s v="03420a92-60f1-46dc-863e-426209385bea"/>
    <s v="Manu Mohan"/>
    <s v="This week"/>
    <s v="MA040076"/>
    <d v="2026-05-30T00:00:00"/>
    <d v="2025-12-09T00:00:00"/>
    <d v="2025-02-25T00:00:00"/>
    <d v="2024-08-27T00:00:00"/>
    <s v="https://mhmpl.sangamcrm.com/tickets/03420a92-60f1-46dc-863e-426209385bea"/>
    <s v="VIKRAM EYE CLINIC BANGALORE HS-3041BL PMS "/>
  </r>
  <r>
    <n v="47820"/>
    <s v="Assigned"/>
    <d v="2026-11-30T00:00:00"/>
    <s v="NARAYANA NETHRALAYA 2"/>
    <s v="BANGALORE"/>
    <s v="FS200"/>
    <s v="1025-1-447"/>
    <s v="PMS"/>
    <x v="5"/>
    <s v="cc65d3d3-4456-48d8-bee3-1961f2183042"/>
    <s v="Manu Mohan"/>
    <s v="Next 30 days"/>
    <s v="1025-1-447"/>
    <d v="2026-08-03T00:00:00"/>
    <d v="2026-05-27T00:00:00"/>
    <d v="2025-12-12T00:00:00"/>
    <d v="2025-06-21T00:00:00"/>
    <s v="https://mhmpl.sangamcrm.com/tickets/cc65d3d3-4456-48d8-bee3-1961f2183042"/>
    <s v="NARAYANA NETHRALAYA 2 BANGALORE FS200 PMS "/>
  </r>
  <r>
    <n v="47806"/>
    <s v="Assigned"/>
    <d v="2026-11-30T00:00:00"/>
    <s v="NARAYANA NETHRALAYA 2"/>
    <s v="BANGALORE"/>
    <s v="EX500"/>
    <s v="1016-2-237"/>
    <s v="PMS"/>
    <x v="5"/>
    <s v="39651c5e-46b3-4393-92fa-6ea7e08a6c63"/>
    <s v="Manu Mohan"/>
    <s v="Next 30 days"/>
    <s v="1016-2-237"/>
    <d v="2026-05-19T00:00:00"/>
    <d v="2025-12-08T00:00:00"/>
    <d v="2025-06-21T00:00:00"/>
    <d v="2024-12-07T00:00:00"/>
    <s v="https://mhmpl.sangamcrm.com/tickets/39651c5e-46b3-4393-92fa-6ea7e08a6c63"/>
    <s v="NARAYANA NETHRALAYA 2 BANGALORE EX500 PMS "/>
  </r>
  <r>
    <n v="45047"/>
    <s v="Assigned"/>
    <d v="2026-10-31T00:00:00"/>
    <s v="INSTITUTE OF DIABETES AND EYE CARE(NETHRADHAMA GROUP)"/>
    <s v="BANGALORE"/>
    <s v="HS-3241EO"/>
    <s v="MH110002"/>
    <s v="PMS"/>
    <x v="7"/>
    <s v="8712a5a4-85a8-4124-9d85-5b2ef6d7c294"/>
    <s v="Manu Mohan"/>
    <s v="This week"/>
    <s v="MH110002"/>
    <d v="2025-11-22T00:00:00"/>
    <d v="2025-11-12T00:00:00"/>
    <d v="2025-05-21T00:00:00"/>
    <m/>
    <s v="https://mhmpl.sangamcrm.com/tickets/8712a5a4-85a8-4124-9d85-5b2ef6d7c294"/>
    <s v="INSTITUTE OF DIABETES AND EYE CARE(NETHRADHAMA GROUP) BANGALORE HS-3241EO PMS "/>
  </r>
  <r>
    <n v="45048"/>
    <s v="Assigned"/>
    <d v="2026-11-30T00:00:00"/>
    <s v="INSTITUTE OF DIABETES AND EYE CARE(NETHRADHAMA GROUP)"/>
    <s v="BANGALORE"/>
    <s v="HS-3241EO"/>
    <s v="MH110002"/>
    <s v="PMS"/>
    <x v="7"/>
    <s v="1c79030c-d0eb-40f4-9bbb-20def427f44d"/>
    <s v="Manu Mohan"/>
    <s v="Next 30 days"/>
    <s v="MH110002"/>
    <d v="2025-11-22T00:00:00"/>
    <d v="2025-11-12T00:00:00"/>
    <d v="2025-05-21T00:00:00"/>
    <m/>
    <s v="https://mhmpl.sangamcrm.com/tickets/1c79030c-d0eb-40f4-9bbb-20def427f44d"/>
    <s v="INSTITUTE OF DIABETES AND EYE CARE(NETHRADHAMA GROUP) BANGALORE HS-3241EO PMS "/>
  </r>
  <r>
    <n v="56592"/>
    <s v="Under Observation"/>
    <d v="2026-10-21T00:00:00"/>
    <s v="SHEKAR EYE HOSPITAL"/>
    <s v="BANGALORE"/>
    <s v="EVOLUTION 3E"/>
    <s v="8367"/>
    <s v="Service"/>
    <x v="7"/>
    <s v="520e6182-0068-4a00-a838-703855e37293"/>
    <s v="Manu Mohan"/>
    <s v="Overdue"/>
    <s v="8367"/>
    <m/>
    <m/>
    <m/>
    <m/>
    <s v="https://mhmpl.sangamcrm.com/tickets/520e6182-0068-4a00-a838-703855e37293"/>
    <s v="SHEKAR EYE HOSPITAL BANGALORE EVOLUTION 3E Service "/>
  </r>
  <r>
    <n v="53362"/>
    <s v="Warranty Claim Pending"/>
    <d v="2026-08-10T00:00:00"/>
    <s v="SRI EYE CARE"/>
    <s v="BANGALORE"/>
    <s v="HS-3041BL"/>
    <s v="MS020009"/>
    <s v="Service"/>
    <x v="6"/>
    <s v="6db6b8e4-a508-4123-8192-d311afb93686"/>
    <s v="Manu Mohan"/>
    <s v="Overdue"/>
    <s v="MS020009"/>
    <d v="2026-06-28T00:00:00"/>
    <d v="2025-11-07T00:00:00"/>
    <d v="2025-06-17T00:00:00"/>
    <d v="2024-12-21T00:00:00"/>
    <s v="https://mhmpl.sangamcrm.com/tickets/6db6b8e4-a508-4123-8192-d311afb93686"/>
    <s v="SRI EYE CARE BANGALORE HS-3041BL Service "/>
  </r>
  <r>
    <n v="48141"/>
    <s v="Assigned"/>
    <d v="2026-11-30T00:00:00"/>
    <s v="SRI EYE CARE"/>
    <s v="BANGALORE"/>
    <s v="HS-3041BL"/>
    <s v="MS020009"/>
    <s v="PMS"/>
    <x v="7"/>
    <s v="27d51b18-b85f-4029-9b9a-80be3b19269b"/>
    <s v="Manu Mohan"/>
    <s v="Next 30 days"/>
    <s v="MS020009"/>
    <d v="2026-06-28T00:00:00"/>
    <d v="2025-11-07T00:00:00"/>
    <d v="2025-06-17T00:00:00"/>
    <d v="2024-12-21T00:00:00"/>
    <s v="https://mhmpl.sangamcrm.com/tickets/27d51b18-b85f-4029-9b9a-80be3b19269b"/>
    <s v="SRI EYE CARE BANGALORE HS-3041BL PMS "/>
  </r>
  <r>
    <n v="54313"/>
    <s v="Assigned"/>
    <d v="2026-10-31T00:00:00"/>
    <s v="PRABHA EYE CLINIC"/>
    <s v="BANGALORE"/>
    <s v="EX500"/>
    <s v="1016-2-445"/>
    <s v="PMS"/>
    <x v="5"/>
    <s v="976820ca-31c7-48bd-ae6f-ceb06b1cb6a6"/>
    <s v="Manu Mohan"/>
    <s v="This week"/>
    <s v="1016-2-445"/>
    <d v="2026-09-12T00:00:00"/>
    <d v="2026-04-21T00:00:00"/>
    <d v="2025-10-28T00:00:00"/>
    <d v="2025-03-26T00:00:00"/>
    <s v="https://mhmpl.sangamcrm.com/tickets/976820ca-31c7-48bd-ae6f-ceb06b1cb6a6"/>
    <s v="PRABHA EYE CLINIC BANGALORE EX500 PMS "/>
  </r>
  <r>
    <n v="49923"/>
    <s v="Assigned"/>
    <d v="2026-10-31T00:00:00"/>
    <s v="NAVASHAKTI NETHRALAYA"/>
    <s v="BANGALORE"/>
    <s v="HS-3041BD"/>
    <s v="MO120001"/>
    <s v="PMS"/>
    <x v="6"/>
    <s v="c80421e6-4e67-43e9-8d10-329461717de8"/>
    <s v="Manu Mohan"/>
    <s v="This week"/>
    <s v="MO120001"/>
    <d v="2025-12-30T00:00:00"/>
    <d v="2024-12-21T00:00:00"/>
    <d v="2024-04-06T00:00:00"/>
    <d v="2023-12-01T00:00:00"/>
    <s v="https://mhmpl.sangamcrm.com/tickets/c80421e6-4e67-43e9-8d10-329461717de8"/>
    <s v="NAVASHAKTI NETHRALAYA BANGALORE HS-3041BD PMS "/>
  </r>
  <r>
    <n v="45042"/>
    <s v="Assigned"/>
    <d v="2026-11-30T00:00:00"/>
    <s v="NETHRADHAMA"/>
    <s v="BANGALORE"/>
    <s v="HS-2321VD"/>
    <s v="MT03007"/>
    <s v="PMS"/>
    <x v="6"/>
    <s v="bc346552-bb84-4095-a4ac-581089e041bc"/>
    <s v="Manu Mohan"/>
    <s v="Next 30 days"/>
    <s v="MT03007"/>
    <d v="2026-05-07T00:00:00"/>
    <d v="2026-01-02T00:00:00"/>
    <d v="2025-05-21T00:00:00"/>
    <d v="2024-11-07T00:00:00"/>
    <s v="https://mhmpl.sangamcrm.com/tickets/bc346552-bb84-4095-a4ac-581089e041bc"/>
    <s v="NETHRADHAMA BANGALORE HS-2321VD PMS "/>
  </r>
  <r>
    <n v="43005"/>
    <s v="Assigned"/>
    <d v="2026-10-31T00:00:00"/>
    <s v="Shanmukha Netralaya"/>
    <s v="Bapatla"/>
    <s v="REVO FC"/>
    <s v="1908467/Z"/>
    <s v="PMS"/>
    <x v="1"/>
    <s v="fa9b8382-b8b4-4c71-af7f-161d361eba43"/>
    <s v="Motty C Das"/>
    <s v="This week"/>
    <s v="1908467/Z"/>
    <d v="2026-04-28T00:00:00"/>
    <m/>
    <m/>
    <m/>
    <s v="https://mhmpl.sangamcrm.com/tickets/fa9b8382-b8b4-4c71-af7f-161d361eba43"/>
    <s v="Shanmukha Netralaya Bapatla REVO FC PMS "/>
  </r>
  <r>
    <n v="51305"/>
    <s v="Assigned"/>
    <d v="2026-11-30T00:00:00"/>
    <s v="Dr Kodkany's Eye Centre"/>
    <s v="Belagavi"/>
    <s v="Enbio PRO"/>
    <s v="ST02-CH-23-20335"/>
    <s v="PMS"/>
    <x v="7"/>
    <s v="a6107a4c-fe99-4281-9407-a7c3d6de9404"/>
    <s v="Manu Mohan"/>
    <s v="Next 30 days"/>
    <s v="ST02-CH-23-20335"/>
    <d v="2026-06-25T00:00:00"/>
    <d v="2025-10-07T00:00:00"/>
    <d v="2025-06-20T00:00:00"/>
    <m/>
    <s v="https://mhmpl.sangamcrm.com/tickets/a6107a4c-fe99-4281-9407-a7c3d6de9404"/>
    <s v="Dr Kodkany's Eye Centre Belagavi Enbio PRO PMS "/>
  </r>
  <r>
    <n v="54186"/>
    <s v="Warranty Claim Pending"/>
    <d v="2026-09-01T00:00:00"/>
    <s v="JAMBAGI SUPER SPECIALITY EYE INSTITUTE"/>
    <s v="Belgaum"/>
    <s v="REVO HR"/>
    <s v="1940110/A"/>
    <s v="Service"/>
    <x v="6"/>
    <s v="2de730b6-cefb-4dde-963e-2cf24b10fa31"/>
    <s v="Manu Mohan"/>
    <s v="Overdue"/>
    <s v="1940110/A"/>
    <d v="2026-07-09T00:00:00"/>
    <m/>
    <m/>
    <m/>
    <s v="https://mhmpl.sangamcrm.com/tickets/2de730b6-cefb-4dde-963e-2cf24b10fa31"/>
    <s v="JAMBAGI SUPER SPECIALITY EYE INSTITUTE Belgaum REVO HR Service "/>
  </r>
  <r>
    <n v="56636"/>
    <s v="Scheduled"/>
    <d v="2026-10-16T00:00:00"/>
    <s v="JAMBAGI SUPER SPECIALITY EYE INSTITUTE"/>
    <s v="Belgaum"/>
    <s v="REVO HR"/>
    <s v="1940110/A"/>
    <s v="Upgrade"/>
    <x v="7"/>
    <s v="0a927ee9-d92d-4bda-9389-67ba70d230b2"/>
    <s v="Manu Mohan"/>
    <s v="Overdue"/>
    <s v="1940110/A"/>
    <d v="2026-07-09T00:00:00"/>
    <m/>
    <m/>
    <m/>
    <s v="https://mhmpl.sangamcrm.com/tickets/0a927ee9-d92d-4bda-9389-67ba70d230b2"/>
    <s v="JAMBAGI SUPER SPECIALITY EYE INSTITUTE Belgaum REVO HR Upgrade "/>
  </r>
  <r>
    <n v="43451"/>
    <s v="Assigned"/>
    <d v="2026-10-31T00:00:00"/>
    <s v="SANKALP EYE CARE CENTRE"/>
    <s v="Belgaum"/>
    <s v="HS-2321BD"/>
    <s v="MT020002"/>
    <s v="PMS"/>
    <x v="7"/>
    <s v="cdf6bde5-7ccd-48ea-bae9-2a7fb362cc88"/>
    <s v="Manu Mohan"/>
    <s v="This week"/>
    <s v="MT020002"/>
    <d v="2026-02-13T00:00:00"/>
    <d v="2025-09-08T00:00:00"/>
    <d v="2025-03-22T00:00:00"/>
    <d v="2024-10-18T00:00:00"/>
    <s v="https://mhmpl.sangamcrm.com/tickets/cdf6bde5-7ccd-48ea-bae9-2a7fb362cc88"/>
    <s v="SANKALP EYE CARE CENTRE BELGAUM HS-2321BD PMS "/>
  </r>
  <r>
    <n v="44790"/>
    <s v="Assigned"/>
    <d v="2026-11-30T00:00:00"/>
    <s v="Manjunatha Nethralaya( Hesarghatta,BLR)"/>
    <s v="Bengaluru"/>
    <s v="EM-4000"/>
    <s v="312A02152"/>
    <s v="PMS"/>
    <x v="6"/>
    <s v="702526c0-92ee-492e-84b4-9344b7e28016"/>
    <s v="Manu Mohan"/>
    <s v="Next 30 days"/>
    <s v="312A02152"/>
    <d v="2026-07-16T00:00:00"/>
    <m/>
    <m/>
    <m/>
    <s v="https://mhmpl.sangamcrm.com/tickets/702526c0-92ee-492e-84b4-9344b7e28016"/>
    <s v="Manjunatha Nethralaya( Hesarghatta,BLR) Bengaluru EM-4000 PMS "/>
  </r>
  <r>
    <n v="50579"/>
    <s v="Assigned"/>
    <d v="2026-11-30T00:00:00"/>
    <s v="Jnanananda ophthalmic institute"/>
    <s v="Bhimavaram"/>
    <s v="SIRIUS+"/>
    <s v="26053024"/>
    <s v="PMS"/>
    <x v="1"/>
    <s v="50de88b2-de91-4117-8e6a-7fe557e5adf2"/>
    <s v="Motty C Das"/>
    <s v="Next 30 days"/>
    <s v="26053024"/>
    <m/>
    <m/>
    <m/>
    <m/>
    <s v="https://mhmpl.sangamcrm.com/tickets/50de88b2-de91-4117-8e6a-7fe557e5adf2"/>
    <s v="Jnanananda ophthalmic institute Bhimavaram SIRIUS+ PMS "/>
  </r>
  <r>
    <n v="52258"/>
    <s v="Assigned"/>
    <d v="2026-10-31T00:00:00"/>
    <s v="TRINITY EYE HOSPITAL"/>
    <s v="CALICUT"/>
    <s v="EX500"/>
    <s v="1016-4-3440"/>
    <s v="PMS"/>
    <x v="2"/>
    <s v="53557df9-b56d-40f3-99c9-51463a56d542"/>
    <s v="Rejish Baby"/>
    <s v="This week"/>
    <s v="1016-4-3440"/>
    <d v="2026-04-24T00:00:00"/>
    <d v="2025-10-28T00:00:00"/>
    <d v="2025-05-26T00:00:00"/>
    <d v="2024-10-19T00:00:00"/>
    <s v="https://mhmpl.sangamcrm.com/tickets/53557df9-b56d-40f3-99c9-51463a56d542"/>
    <s v="TRINITY EYE HOSPITAL CALICUT EX500 PMS "/>
  </r>
  <r>
    <n v="44506"/>
    <s v="Assigned"/>
    <d v="2026-11-30T00:00:00"/>
    <s v="DR.SREEKANTH EYE CARE &amp; RESEARCH CENTRE"/>
    <s v="CALICUT"/>
    <s v="EM-4000"/>
    <s v="217909"/>
    <s v="PMS"/>
    <x v="0"/>
    <s v="1615e0d1-0f27-4be0-b251-50a338e1d4c9"/>
    <s v="Rejish Baby"/>
    <s v="Next 30 days"/>
    <s v="217909"/>
    <d v="2026-06-05T00:00:00"/>
    <d v="2026-01-27T00:00:00"/>
    <d v="2025-06-12T00:00:00"/>
    <d v="2025-02-25T00:00:00"/>
    <s v="https://mhmpl.sangamcrm.com/tickets/1615e0d1-0f27-4be0-b251-50a338e1d4c9"/>
    <s v="DR.SREEKANTH EYE CARE &amp; RESEARCH CENTRE CALICUT EM-4000 PMS "/>
  </r>
  <r>
    <n v="55776"/>
    <s v="In Process"/>
    <d v="2026-09-30T00:00:00"/>
    <s v="COMTRUST CHARITABLE TRUST EYE HOSPITAL"/>
    <s v="CALICUT"/>
    <s v="HS-2522BL"/>
    <s v="MD080003"/>
    <s v="Service"/>
    <x v="8"/>
    <s v="2a030ddc-87ff-4bce-99b3-0437a30146ab"/>
    <s v="Rejish Baby"/>
    <s v="Overdue"/>
    <s v="MD080003"/>
    <d v="2026-07-23T00:00:00"/>
    <d v="2025-12-28T00:00:00"/>
    <d v="2025-08-28T00:00:00"/>
    <d v="2025-01-16T00:00:00"/>
    <s v="https://mhmpl.sangamcrm.com/tickets/2a030ddc-87ff-4bce-99b3-0437a30146ab"/>
    <s v="COMTRUST CHARITABLE TRUST EYE HOSPITAL calicut HS-2522BL Service "/>
  </r>
  <r>
    <n v="57004"/>
    <s v="Scheduled"/>
    <d v="2026-10-28T00:00:00"/>
    <s v="I VISION EYE CARE CENTRE"/>
    <s v="CHALAKUDY"/>
    <s v="OA-2000"/>
    <s v="419A02022"/>
    <s v="Service"/>
    <x v="0"/>
    <s v="8116c2b0-a5a0-4ea0-a401-dfde72495d48"/>
    <s v="Rejish Baby"/>
    <s v="Overdue"/>
    <s v="419A02022"/>
    <d v="2026-08-25T00:00:00"/>
    <d v="2026-01-06T00:00:00"/>
    <d v="2025-07-25T00:00:00"/>
    <d v="2025-02-10T00:00:00"/>
    <s v="https://mhmpl.sangamcrm.com/tickets/8116c2b0-a5a0-4ea0-a401-dfde72495d48"/>
    <s v="I VISION EYE CARE CENTRE CHALAKUDY OA-2000 Service "/>
  </r>
  <r>
    <n v="44283"/>
    <s v="Assigned"/>
    <d v="2026-11-30T00:00:00"/>
    <s v="IDrishti super speciality eye hospital channapatna"/>
    <s v="Channapatna"/>
    <s v="REVO 60"/>
    <s v="1911448/Z"/>
    <s v="PMS"/>
    <x v="6"/>
    <s v="b97413e8-ecf5-432b-a260-b48b5a24af03"/>
    <s v="Manu Mohan"/>
    <s v="Next 30 days"/>
    <s v="1911448/Z"/>
    <d v="2026-10-27T00:00:00"/>
    <m/>
    <m/>
    <m/>
    <s v="https://mhmpl.sangamcrm.com/tickets/b97413e8-ecf5-432b-a260-b48b5a24af03"/>
    <s v="IDrishti super speciality eye hospital channapatna Channapatna REVO 60 PMS "/>
  </r>
  <r>
    <n v="51187"/>
    <s v="Assigned"/>
    <d v="2026-11-30T00:00:00"/>
    <s v="Balaji Eye Hospital(Chengalpet)"/>
    <s v="Chengalpattu"/>
    <s v="REVO FC"/>
    <s v="1906495/X"/>
    <s v="PMS"/>
    <x v="9"/>
    <s v="7b27de1c-7664-4b46-aaef-90b3043d57aa"/>
    <s v="Manivannan D"/>
    <s v="Next 30 days"/>
    <s v="1906495/X"/>
    <d v="2026-03-31T00:00:00"/>
    <d v="2025-11-03T00:00:00"/>
    <d v="2025-01-23T00:00:00"/>
    <d v="2024-08-02T00:00:00"/>
    <s v="https://mhmpl.sangamcrm.com/tickets/7b27de1c-7664-4b46-aaef-90b3043d57aa"/>
    <s v="Balaji Eye Hospital(Chengalpet) Chengalpattu REVO FC PMS "/>
  </r>
  <r>
    <n v="51185"/>
    <s v="Assigned"/>
    <d v="2026-11-30T00:00:00"/>
    <s v="Balaji Eye Hospital(Chengalpet)"/>
    <s v="Chengalpattu"/>
    <s v="OA-2000"/>
    <s v="497A47032"/>
    <s v="PMS"/>
    <x v="9"/>
    <s v="fed57b87-2707-420d-bb2a-dafe05012527"/>
    <s v="Manivannan D"/>
    <s v="Next 30 days"/>
    <s v="497A47032"/>
    <d v="2025-11-03T00:00:00"/>
    <d v="2025-01-23T00:00:00"/>
    <d v="2024-08-02T00:00:00"/>
    <d v="2024-03-27T00:00:00"/>
    <s v="https://mhmpl.sangamcrm.com/tickets/fed57b87-2707-420d-bb2a-dafe05012527"/>
    <s v="Balaji Eye Hospital(Chengalpet) Chengalpattu OA-2000 PMS "/>
  </r>
  <r>
    <n v="43705"/>
    <s v="Assigned"/>
    <d v="2026-10-31T00:00:00"/>
    <s v="Medical Research Foundation (MESU Bus Guindy)"/>
    <s v="Chennai"/>
    <s v="HS-2522BL"/>
    <s v="OD070006"/>
    <s v="PMS"/>
    <x v="9"/>
    <s v="ea728054-b3f8-467c-9c16-3e537f9eedb6"/>
    <s v="Manivannan D"/>
    <s v="This week"/>
    <s v="OD070006"/>
    <d v="2026-06-03T00:00:00"/>
    <m/>
    <m/>
    <m/>
    <s v="https://mhmpl.sangamcrm.com/tickets/ea728054-b3f8-467c-9c16-3e537f9eedb6"/>
    <s v="Medical Research Foundation (MESU Bus Guindy) Chennai HS-2522BL PMS "/>
  </r>
  <r>
    <n v="57091"/>
    <s v="In Process"/>
    <d v="2026-10-31T00:00:00"/>
    <s v="ARAVIND EYE HOSPITAL chennai"/>
    <s v="Chennai"/>
    <s v="PTS 2000"/>
    <s v="7702291/A"/>
    <s v="Service"/>
    <x v="10"/>
    <s v="e2e98779-a0e5-45ab-8f71-427220881856"/>
    <s v="Motty C Das"/>
    <s v="This week"/>
    <s v="7702291/A"/>
    <d v="2026-08-03T00:00:00"/>
    <m/>
    <m/>
    <m/>
    <s v="https://mhmpl.sangamcrm.com/tickets/e2e98779-a0e5-45ab-8f71-427220881856"/>
    <s v="ARAVIND EYE HOSPITAL chennai CHENNAI PTS 2000 Service "/>
  </r>
  <r>
    <n v="51049"/>
    <s v="Assigned"/>
    <d v="2026-11-30T00:00:00"/>
    <s v="MN ENTERPRISES"/>
    <s v="Chennai"/>
    <s v="Pachmate 2"/>
    <s v="6465"/>
    <s v="PMS"/>
    <x v="11"/>
    <s v="df2fccd7-86b7-48f7-9d04-3e0aa36e1d46"/>
    <s v="Manivannan D"/>
    <s v="Next 30 days"/>
    <s v="6465"/>
    <m/>
    <m/>
    <m/>
    <m/>
    <s v="https://mhmpl.sangamcrm.com/tickets/df2fccd7-86b7-48f7-9d04-3e0aa36e1d46"/>
    <s v="MN ENTERPRISES Chennai Pachmate 2 PMS "/>
  </r>
  <r>
    <n v="51047"/>
    <s v="Assigned"/>
    <d v="2026-11-30T00:00:00"/>
    <s v="MN ENTERPRISES"/>
    <s v="Chennai"/>
    <s v="Pachmate 2"/>
    <s v="6465"/>
    <s v="PMS"/>
    <x v="11"/>
    <s v="56b13467-07c4-486e-bc41-d8401b7e7b48"/>
    <s v="Manivannan D"/>
    <s v="Next 30 days"/>
    <s v="6465"/>
    <m/>
    <m/>
    <m/>
    <m/>
    <s v="https://mhmpl.sangamcrm.com/tickets/56b13467-07c4-486e-bc41-d8401b7e7b48"/>
    <s v="MN ENTERPRISES Chennai Pachmate 2 PMS "/>
  </r>
  <r>
    <n v="49880"/>
    <s v="Assigned"/>
    <d v="2026-10-31T00:00:00"/>
    <s v="APPASAMY ASSOCIATES_Factory_Ambattur"/>
    <s v="Chennai"/>
    <s v="TMS-4N"/>
    <s v="683902"/>
    <s v="PMS"/>
    <x v="12"/>
    <s v="0452523b-d0f0-41f8-b3fd-d11a836cbcac"/>
    <s v="Manivannan D"/>
    <s v="This week"/>
    <s v="683902"/>
    <m/>
    <m/>
    <m/>
    <m/>
    <s v="https://mhmpl.sangamcrm.com/tickets/0452523b-d0f0-41f8-b3fd-d11a836cbcac"/>
    <s v="APPASAMY ASSOCIATES_Factory_Ambattur Chennai TMS-4N PMS "/>
  </r>
  <r>
    <n v="43709"/>
    <s v="Assigned"/>
    <d v="2026-10-31T00:00:00"/>
    <s v="Medical Research Foundation (MESU Bus Guindy)"/>
    <s v="Chennai"/>
    <s v="HS-2522BL"/>
    <s v="OD070005"/>
    <s v="PMS"/>
    <x v="9"/>
    <s v="e7b285aa-e853-488c-b5a9-ae10e5a9fcae"/>
    <s v="Manivannan D"/>
    <s v="This week"/>
    <s v="OD070005"/>
    <d v="2026-06-03T00:00:00"/>
    <m/>
    <m/>
    <m/>
    <s v="https://mhmpl.sangamcrm.com/tickets/e7b285aa-e853-488c-b5a9-ae10e5a9fcae"/>
    <s v="Medical Research Foundation (MESU Bus Guindy) Chennai HS-2522BL PMS "/>
  </r>
  <r>
    <n v="49727"/>
    <s v="Assigned"/>
    <d v="2026-10-31T00:00:00"/>
    <s v="TWO M LASER SERVICE, CHENNAI"/>
    <s v="Chennai"/>
    <s v="REVO FC"/>
    <s v="1908364/Z"/>
    <s v="PMS"/>
    <x v="7"/>
    <s v="8e805238-7bf4-4f6e-905c-a13611d71d62"/>
    <s v="Manu Mohan"/>
    <s v="This week"/>
    <s v="1908364/Z"/>
    <m/>
    <m/>
    <m/>
    <m/>
    <s v="https://mhmpl.sangamcrm.com/tickets/8e805238-7bf4-4f6e-905c-a13611d71d62"/>
    <s v="TWO M LASER SERVICE, CHENNAI Chennai REVO FC PMS "/>
  </r>
  <r>
    <n v="49733"/>
    <s v="Assigned"/>
    <d v="2026-11-30T00:00:00"/>
    <s v="ARAVIND EYE HOSPITAL chennai"/>
    <s v="Chennai"/>
    <s v="CASIA2"/>
    <s v="441011"/>
    <s v="PMS"/>
    <x v="12"/>
    <s v="ca7bc3d5-9d99-450b-b728-184afcf018a1"/>
    <s v="Manivannan D"/>
    <s v="Next 30 days"/>
    <s v="441011"/>
    <d v="2026-06-05T00:00:00"/>
    <m/>
    <m/>
    <m/>
    <s v="https://mhmpl.sangamcrm.com/tickets/ca7bc3d5-9d99-450b-b728-184afcf018a1"/>
    <s v="ARAVIND EYE HOSPITAL chennai CHENNAI CASIA2 PMS "/>
  </r>
  <r>
    <n v="42718"/>
    <s v="Assigned"/>
    <d v="2026-10-31T00:00:00"/>
    <s v="AMRIT HOSPITAL Sowcarpet"/>
    <s v="Chennai"/>
    <s v="REVO FC"/>
    <s v="1907168/Y"/>
    <s v="PMS"/>
    <x v="11"/>
    <s v="f7450dcd-6c65-42bb-9ec4-94801e50517e"/>
    <s v="Manivannan D"/>
    <s v="This week"/>
    <s v="1907168/Y"/>
    <d v="2026-05-05T00:00:00"/>
    <d v="2025-10-06T00:00:00"/>
    <d v="2025-04-28T00:00:00"/>
    <m/>
    <s v="https://mhmpl.sangamcrm.com/tickets/f7450dcd-6c65-42bb-9ec4-94801e50517e"/>
    <s v="AMRIT HOSPITAL Sowcarpet CHENNAI REVO FC PMS "/>
  </r>
  <r>
    <n v="56653"/>
    <s v="In Process"/>
    <d v="2026-10-22T00:00:00"/>
    <s v="RAJAN EYE CARE HOSPITAL"/>
    <s v="Chennai"/>
    <s v="HS-3041BL"/>
    <s v="OR020043"/>
    <s v="Service"/>
    <x v="10"/>
    <s v="8c51a2fe-6231-4c84-bde3-28663994785c"/>
    <s v="Motty C Das"/>
    <s v="Overdue"/>
    <s v="OR020043"/>
    <d v="2026-06-23T00:00:00"/>
    <d v="2025-09-06T00:00:00"/>
    <d v="2025-02-15T00:00:00"/>
    <m/>
    <s v="https://mhmpl.sangamcrm.com/tickets/8c51a2fe-6231-4c84-bde3-28663994785c"/>
    <s v="RAJAN EYE CARE HOSPITAL CHENNAI HS-3041BL Service "/>
  </r>
  <r>
    <n v="46208"/>
    <s v="Assigned"/>
    <d v="2026-11-30T00:00:00"/>
    <s v="AMRIT MEDICARE PVT LTD"/>
    <s v="Chennai"/>
    <s v="EM-4000"/>
    <s v="379909"/>
    <s v="PMS"/>
    <x v="11"/>
    <s v="0cd5bdcf-cc12-4a40-a383-aed264849e14"/>
    <s v="Manivannan D"/>
    <s v="Next 30 days"/>
    <s v="379909"/>
    <d v="2026-07-15T00:00:00"/>
    <d v="2025-09-19T00:00:00"/>
    <d v="2025-04-01T00:00:00"/>
    <d v="2024-12-24T00:00:00"/>
    <s v="https://mhmpl.sangamcrm.com/tickets/0cd5bdcf-cc12-4a40-a383-aed264849e14"/>
    <s v="AMRIT MEDICARE PVT LTD CHENNAI EM-4000 PMS "/>
  </r>
  <r>
    <n v="42004"/>
    <s v="Assigned"/>
    <d v="2026-10-31T00:00:00"/>
    <s v="CENTER FOR EYE AND HEALTH CARE"/>
    <s v="Chennai"/>
    <s v="HS-2522BL"/>
    <s v="OT060041"/>
    <s v="PMS"/>
    <x v="12"/>
    <s v="6815f451-831a-4a68-b840-873e9847b7a0"/>
    <s v="Manivannan D"/>
    <s v="This week"/>
    <s v="OT060041"/>
    <d v="2026-04-06T00:00:00"/>
    <d v="2025-07-18T00:00:00"/>
    <d v="2025-01-31T00:00:00"/>
    <d v="2024-03-08T00:00:00"/>
    <s v="https://mhmpl.sangamcrm.com/tickets/6815f451-831a-4a68-b840-873e9847b7a0"/>
    <s v="CENTER FOR EYE AND HEALTH CARE CHENNAI HS-2522BL PMS "/>
  </r>
  <r>
    <n v="44492"/>
    <s v="Assigned"/>
    <d v="2026-11-30T00:00:00"/>
    <s v="Dr Ravishankar’s eye clinic"/>
    <s v="Chennai"/>
    <s v="OA-2000"/>
    <s v="430A15022"/>
    <s v="PMS"/>
    <x v="12"/>
    <s v="fd4ca37d-1ce5-47b1-a588-c4aa0cc5726e"/>
    <s v="Manivannan D"/>
    <s v="Next 30 days"/>
    <s v="430A15022"/>
    <d v="2026-06-23T00:00:00"/>
    <d v="2025-12-18T00:00:00"/>
    <d v="2025-05-27T00:00:00"/>
    <d v="2024-11-29T00:00:00"/>
    <s v="https://mhmpl.sangamcrm.com/tickets/fd4ca37d-1ce5-47b1-a588-c4aa0cc5726e"/>
    <s v="Dr Ravishankar’s eye clinic Chennai OA-2000 PMS "/>
  </r>
  <r>
    <n v="43653"/>
    <s v="Assigned"/>
    <d v="2026-10-31T00:00:00"/>
    <s v="VIJAYA EYE FOUNDATION"/>
    <s v="Chennai"/>
    <s v="TMS-4N"/>
    <s v="145609"/>
    <s v="PMS"/>
    <x v="12"/>
    <s v="4da0d621-a54b-4034-a4e3-6bd341e479cd"/>
    <s v="Manivannan D"/>
    <s v="This week"/>
    <s v="145609"/>
    <d v="2026-05-05T00:00:00"/>
    <d v="2025-09-15T00:00:00"/>
    <d v="2025-05-22T00:00:00"/>
    <d v="2024-11-15T00:00:00"/>
    <s v="https://mhmpl.sangamcrm.com/tickets/4da0d621-a54b-4034-a4e3-6bd341e479cd"/>
    <s v="VIJAYA EYE FOUNDATION CHENNAI TMS-4N PMS "/>
  </r>
  <r>
    <n v="53985"/>
    <s v="Instrument at OEM Factory"/>
    <d v="2026-08-24T00:00:00"/>
    <s v="ARAVIND EYE HOSPITAL chennai"/>
    <s v="Chennai"/>
    <s v="MS-39"/>
    <s v="20010178"/>
    <s v="Service"/>
    <x v="11"/>
    <s v="1dc2a09a-c89f-4a4c-b488-ac5f2fafc6c4"/>
    <s v="Manivannan D"/>
    <s v="Overdue"/>
    <s v="20010178"/>
    <d v="2026-10-29T00:00:00"/>
    <d v="2026-04-22T00:00:00"/>
    <d v="2025-10-01T00:00:00"/>
    <d v="2025-04-07T00:00:00"/>
    <s v="https://mhmpl.sangamcrm.com/tickets/1dc2a09a-c89f-4a4c-b488-ac5f2fafc6c4"/>
    <s v="ARAVIND EYE HOSPITAL chennai CHENNAI MS-39 Service "/>
  </r>
  <r>
    <n v="49933"/>
    <s v="Assigned"/>
    <d v="2026-10-31T00:00:00"/>
    <s v="INDIRA EYE HOSPITAL"/>
    <s v="Chennai"/>
    <s v="HS-2522BL"/>
    <s v="ML050052"/>
    <s v="PMS"/>
    <x v="9"/>
    <s v="fd73f241-c2cb-4c0e-9875-df96e5227bd0"/>
    <s v="Manivannan D"/>
    <s v="This week"/>
    <s v="ML050052"/>
    <d v="2026-05-04T00:00:00"/>
    <d v="2025-11-03T00:00:00"/>
    <d v="2025-03-19T00:00:00"/>
    <d v="2024-10-23T00:00:00"/>
    <s v="https://mhmpl.sangamcrm.com/tickets/fd73f241-c2cb-4c0e-9875-df96e5227bd0"/>
    <s v="INDIRA EYE HOSPITAL CHENNAI HS-2522BL PMS "/>
  </r>
  <r>
    <n v="47818"/>
    <s v="Assigned"/>
    <d v="2026-11-30T00:00:00"/>
    <s v="ARAVIND EYE HOSPITAL chennai"/>
    <s v="Chennai"/>
    <s v="FS200"/>
    <s v="1025-1-442"/>
    <s v="PMS"/>
    <x v="13"/>
    <s v="2b51b5aa-6e64-4a4f-9e02-cc92e64526f4"/>
    <s v="Motty C Das"/>
    <s v="Next 30 days"/>
    <s v="1025-1-442"/>
    <d v="2026-05-16T00:00:00"/>
    <d v="2025-12-12T00:00:00"/>
    <d v="2025-10-07T00:00:00"/>
    <d v="2025-07-07T00:00:00"/>
    <s v="https://mhmpl.sangamcrm.com/tickets/2b51b5aa-6e64-4a4f-9e02-cc92e64526f4"/>
    <s v="ARAVIND EYE HOSPITAL chennai CHENNAI FS200 PMS "/>
  </r>
  <r>
    <n v="47804"/>
    <s v="Assigned"/>
    <d v="2026-11-30T00:00:00"/>
    <s v="ARAVIND EYE HOSPITAL chennai"/>
    <s v="Chennai"/>
    <s v="EX500"/>
    <s v="1016-2-1161"/>
    <s v="PMS"/>
    <x v="12"/>
    <s v="a40e6345-fd44-4beb-b700-809c84f591c6"/>
    <s v="Manivannan D"/>
    <s v="Next 30 days"/>
    <s v="1016-2-1161"/>
    <d v="2026-05-15T00:00:00"/>
    <d v="2025-12-12T00:00:00"/>
    <d v="2025-07-07T00:00:00"/>
    <d v="2024-12-21T00:00:00"/>
    <s v="https://mhmpl.sangamcrm.com/tickets/a40e6345-fd44-4beb-b700-809c84f591c6"/>
    <s v="ARAVIND EYE HOSPITAL chennai CHENNAI EX500 PMS "/>
  </r>
  <r>
    <n v="42531"/>
    <s v="Assigned"/>
    <d v="2026-10-31T00:00:00"/>
    <s v="DRR EYE HOSPITAL"/>
    <s v="Chennai"/>
    <s v="EM-4000"/>
    <s v="650111"/>
    <s v="PMS"/>
    <x v="12"/>
    <s v="13ab707b-df2f-4910-ae2b-f99698322ce5"/>
    <s v="Manivannan D"/>
    <s v="This week"/>
    <s v="650111"/>
    <d v="2026-05-07T00:00:00"/>
    <d v="2025-11-11T00:00:00"/>
    <d v="2025-04-16T00:00:00"/>
    <d v="2024-11-11T00:00:00"/>
    <s v="https://mhmpl.sangamcrm.com/tickets/13ab707b-df2f-4910-ae2b-f99698322ce5"/>
    <s v="DRR EYE HOSPITAL CHENNAI EM-4000 PMS "/>
  </r>
  <r>
    <n v="56986"/>
    <s v="In Process"/>
    <d v="2026-10-27T00:00:00"/>
    <s v="MEDICAL RESEARCH FOUNDATION"/>
    <s v="Chennai"/>
    <s v="EVOLUTION 3E"/>
    <s v="8786"/>
    <s v="Installation"/>
    <x v="12"/>
    <s v="36e7de2c-896d-4b10-9c81-4b6ae6be5c6a"/>
    <s v="Manivannan D"/>
    <s v="Overdue"/>
    <s v="8786"/>
    <d v="2026-09-07T00:00:00"/>
    <d v="2026-02-10T00:00:00"/>
    <d v="2025-08-13T00:00:00"/>
    <d v="2025-02-28T00:00:00"/>
    <s v="https://mhmpl.sangamcrm.com/tickets/36e7de2c-896d-4b10-9c81-4b6ae6be5c6a"/>
    <s v="MEDICAL RESEARCH FOUNDATION CHENNAI EVOLUTION 3E Installation "/>
  </r>
  <r>
    <n v="51272"/>
    <s v="Assigned"/>
    <d v="2026-11-30T00:00:00"/>
    <s v="JAYA EYE CLINIC"/>
    <s v="Chennai"/>
    <s v="HS-2321VD"/>
    <s v="MT11021"/>
    <s v="PMS"/>
    <x v="9"/>
    <s v="2fa82667-ed4c-47d1-beee-c9caa291327a"/>
    <s v="Manivannan D"/>
    <s v="Next 30 days"/>
    <s v="MT11021"/>
    <d v="2026-05-28T00:00:00"/>
    <d v="2025-12-05T00:00:00"/>
    <d v="2025-05-08T00:00:00"/>
    <d v="2024-11-21T00:00:00"/>
    <s v="https://mhmpl.sangamcrm.com/tickets/2fa82667-ed4c-47d1-beee-c9caa291327a"/>
    <s v="JAYA EYE CLINIC CHENNAI HS-2321VD PMS "/>
  </r>
  <r>
    <n v="42535"/>
    <s v="Assigned"/>
    <d v="2026-10-31T00:00:00"/>
    <s v="DRR EYE HOSPITAL"/>
    <s v="Chennai"/>
    <s v="SIRIUS"/>
    <s v="14112152"/>
    <s v="PMS"/>
    <x v="12"/>
    <s v="374bf3a9-3e5a-4f4d-bdf3-82c82e713523"/>
    <s v="Manivannan D"/>
    <s v="This week"/>
    <s v="14112152"/>
    <d v="2026-05-07T00:00:00"/>
    <d v="2025-10-11T00:00:00"/>
    <d v="2025-04-15T00:00:00"/>
    <d v="2024-11-11T00:00:00"/>
    <s v="https://mhmpl.sangamcrm.com/tickets/374bf3a9-3e5a-4f4d-bdf3-82c82e713523"/>
    <s v="DRR EYE HOSPITAL CHENNAI SIRIUS PMS "/>
  </r>
  <r>
    <n v="56833"/>
    <s v="Scheduled"/>
    <d v="2026-10-24T00:00:00"/>
    <s v="AMRIT LASIK AND EYE SURGERY CENTRE"/>
    <s v="Chennai"/>
    <s v="FS200"/>
    <s v="1025-1-245"/>
    <s v="Service"/>
    <x v="13"/>
    <s v="7f21e398-bc55-4363-ade7-5a6ccd21c23a"/>
    <s v="Motty C Das"/>
    <s v="Overdue"/>
    <s v="1025-1-245"/>
    <d v="2026-10-16T00:00:00"/>
    <d v="2026-05-05T00:00:00"/>
    <d v="2025-10-30T00:00:00"/>
    <d v="2025-05-12T00:00:00"/>
    <s v="https://mhmpl.sangamcrm.com/tickets/7f21e398-bc55-4363-ade7-5a6ccd21c23a"/>
    <s v="AMRIT LASIK AND EYE SURGERY CENTRE CHENNAI FS200 Service "/>
  </r>
  <r>
    <n v="49339"/>
    <s v="Assigned"/>
    <d v="2026-11-30T00:00:00"/>
    <s v="ARAVIND EYE HOSPITAL chennai"/>
    <s v="Chennai"/>
    <s v="IDRA"/>
    <s v="I20190035"/>
    <s v="PMS"/>
    <x v="11"/>
    <s v="e08552df-9be7-4875-b4de-7572dd0f7893"/>
    <s v="Manivannan D"/>
    <s v="Next 30 days"/>
    <m/>
    <m/>
    <m/>
    <m/>
    <m/>
    <s v="https://mhmpl.sangamcrm.com/tickets/e08552df-9be7-4875-b4de-7572dd0f7893"/>
    <s v="ARAVIND EYE HOSPITAL chennai CHENNAI IDRA PMS "/>
  </r>
  <r>
    <n v="49341"/>
    <s v="Assigned"/>
    <d v="2026-11-30T00:00:00"/>
    <s v="ARAVIND EYE HOSPITAL chennai"/>
    <s v="Chennai"/>
    <s v="E-Eye"/>
    <s v="DO29AF001008 A018200003"/>
    <s v="PMS"/>
    <x v="11"/>
    <s v="be765390-f74b-4fa6-9d6c-067d8037af1b"/>
    <s v="Manivannan D"/>
    <s v="Next 30 days"/>
    <m/>
    <m/>
    <m/>
    <m/>
    <m/>
    <s v="https://mhmpl.sangamcrm.com/tickets/be765390-f74b-4fa6-9d6c-067d8037af1b"/>
    <s v="ARAVIND EYE HOSPITAL chennai CHENNAI E-Eye PMS "/>
  </r>
  <r>
    <n v="52210"/>
    <s v="Assigned"/>
    <d v="2026-11-30T00:00:00"/>
    <s v="SENTHIL EYE CLINIC"/>
    <s v="CHEYYAR"/>
    <s v="OA-2000"/>
    <s v="998911"/>
    <s v="PMS"/>
    <x v="11"/>
    <s v="7c4e032f-dd7d-4685-8cfb-194299f54fa2"/>
    <s v="Manivannan D"/>
    <s v="Next 30 days"/>
    <s v="998911"/>
    <d v="2026-05-12T00:00:00"/>
    <d v="2026-01-14T00:00:00"/>
    <d v="2025-05-09T00:00:00"/>
    <d v="2024-11-29T00:00:00"/>
    <s v="https://mhmpl.sangamcrm.com/tickets/7c4e032f-dd7d-4685-8cfb-194299f54fa2"/>
    <s v="SENTHIL EYE CLINIC CHEYYAR OA-2000 PMS "/>
  </r>
  <r>
    <n v="42272"/>
    <s v="Assigned"/>
    <d v="2026-10-31T00:00:00"/>
    <s v="DARSHAN NETHRALAYA"/>
    <s v="CHIKMANGALUR"/>
    <s v="HS-2321BD"/>
    <s v="MR030008"/>
    <s v="PMS"/>
    <x v="7"/>
    <s v="927c7b12-479d-401d-a6ba-00c81c3b4d23"/>
    <s v="Manu Mohan"/>
    <s v="This week"/>
    <s v="MR030008"/>
    <d v="2026-10-03T00:00:00"/>
    <d v="2025-10-31T00:00:00"/>
    <d v="2025-02-17T00:00:00"/>
    <d v="2024-07-09T00:00:00"/>
    <s v="https://mhmpl.sangamcrm.com/tickets/927c7b12-479d-401d-a6ba-00c81c3b4d23"/>
    <s v="DARSHAN NETHRALAYA CHIKMANGALUR HS-2321BD PMS "/>
  </r>
  <r>
    <n v="42135"/>
    <s v="Assigned"/>
    <d v="2026-10-31T00:00:00"/>
    <s v="SARGOD EYE CARE"/>
    <s v="CHIKMANGALUR"/>
    <s v="HS-2321BD"/>
    <s v="MT020005"/>
    <s v="PMS"/>
    <x v="7"/>
    <s v="48681bc7-3b91-44b2-a16a-a7e8fe5f1b5a"/>
    <s v="Manu Mohan"/>
    <s v="This week"/>
    <s v="MT020005"/>
    <d v="2026-10-03T00:00:00"/>
    <d v="2025-11-18T00:00:00"/>
    <d v="2025-02-17T00:00:00"/>
    <d v="2024-07-09T00:00:00"/>
    <s v="https://mhmpl.sangamcrm.com/tickets/48681bc7-3b91-44b2-a16a-a7e8fe5f1b5a"/>
    <s v="SARGOD EYE CARE CHIKMANGALUR HS-2321BD PMS "/>
  </r>
  <r>
    <n v="51893"/>
    <s v="Assigned"/>
    <d v="2026-11-30T00:00:00"/>
    <s v="AGARWAL EYE HOSPITAL CBE"/>
    <s v="COIMBATORE"/>
    <s v="TOPOLYZER VARIO"/>
    <s v="1029-5-269"/>
    <s v="PMS"/>
    <x v="14"/>
    <s v="497e0167-82b7-4c39-a18e-e060ffd81d94"/>
    <s v="Jinson P J"/>
    <s v="Next 30 days"/>
    <s v="1029-5-269"/>
    <m/>
    <m/>
    <m/>
    <m/>
    <s v="https://mhmpl.sangamcrm.com/tickets/497e0167-82b7-4c39-a18e-e060ffd81d94"/>
    <s v="AGARWAL EYE HOSPITAL CBE COIMBATORE TOPOLYZER VARIO PMS "/>
  </r>
  <r>
    <n v="52330"/>
    <s v="Assigned"/>
    <d v="2026-10-31T00:00:00"/>
    <s v="AGARWAL EYE HOSPITAL CBE"/>
    <s v="COIMBATORE"/>
    <s v="EX500"/>
    <s v="1016-4-1066"/>
    <s v="PMS"/>
    <x v="14"/>
    <s v="b264443e-eb02-42e4-a7ad-cdac3b15ac57"/>
    <s v="Jinson P J"/>
    <s v="This week"/>
    <s v="1016-4-1066"/>
    <d v="2026-10-31T00:00:00"/>
    <d v="2026-03-25T00:00:00"/>
    <d v="2025-09-18T00:00:00"/>
    <d v="2025-03-01T00:00:00"/>
    <s v="https://mhmpl.sangamcrm.com/tickets/b264443e-eb02-42e4-a7ad-cdac3b15ac57"/>
    <s v="AGARWAL EYE HOSPITAL CBE COIMBATORE EX500 PMS "/>
  </r>
  <r>
    <n v="49088"/>
    <s v="Assigned"/>
    <d v="2026-10-31T00:00:00"/>
    <s v="SRI KANCHI KAMAKOTI MEDICAL TRUST"/>
    <s v="COIMBATORE"/>
    <s v="OA-2000"/>
    <s v="944901"/>
    <s v="PMS"/>
    <x v="3"/>
    <s v="e55c58c6-3e4a-47b9-9da9-dc1afd0b0fd2"/>
    <s v="Jinson P J"/>
    <s v="This week"/>
    <s v="944901"/>
    <d v="2026-03-20T00:00:00"/>
    <d v="2025-08-14T00:00:00"/>
    <d v="2025-02-07T00:00:00"/>
    <d v="2024-09-05T00:00:00"/>
    <s v="https://mhmpl.sangamcrm.com/tickets/e55c58c6-3e4a-47b9-9da9-dc1afd0b0fd2"/>
    <s v="SRI KANCHI KAMAKOTI MEDICAL TRUST COIMBATORE OA-2000 PMS "/>
  </r>
  <r>
    <n v="56673"/>
    <s v="Escalated to Parent Company"/>
    <d v="2026-10-27T00:00:00"/>
    <s v="THE EYE FOUNDATION"/>
    <s v="COIMBATORE"/>
    <s v="TOPOLYZER VARIO"/>
    <s v="1029-1-231"/>
    <s v="Service"/>
    <x v="15"/>
    <s v="688ba916-881b-4c48-ad9a-a495fe471f1c"/>
    <s v="Jinson P J"/>
    <s v="Overdue"/>
    <s v="1029-1-231"/>
    <d v="2026-09-29T00:00:00"/>
    <d v="2026-05-02T00:00:00"/>
    <d v="2026-02-03T00:00:00"/>
    <d v="2025-09-08T00:00:00"/>
    <s v="https://mhmpl.sangamcrm.com/tickets/688ba916-881b-4c48-ad9a-a495fe471f1c"/>
    <s v="THE EYE FOUNDATION COIMBATORE TOPOLYZER VARIO Service "/>
  </r>
  <r>
    <n v="44228"/>
    <s v="Assigned"/>
    <d v="2026-10-31T00:00:00"/>
    <s v="LOTUS EYE HOSPITAL &amp; EYE INSTITUTE"/>
    <s v="COIMBATORE"/>
    <s v="UV-X 1000"/>
    <s v="100030803"/>
    <s v="PMS"/>
    <x v="3"/>
    <s v="f41f64fc-e71e-4776-a6fc-54a9bdbc56d6"/>
    <s v="Jinson P J"/>
    <s v="This week"/>
    <s v="100030803"/>
    <d v="2026-08-19T00:00:00"/>
    <d v="2025-07-31T00:00:00"/>
    <d v="2024-08-30T00:00:00"/>
    <d v="2023-12-14T00:00:00"/>
    <s v="https://mhmpl.sangamcrm.com/tickets/f41f64fc-e71e-4776-a6fc-54a9bdbc56d6"/>
    <s v="LOTUS EYE HOSPITAL &amp; EYE INSTITUTE COIMBATORE UV-X 1000 PMS "/>
  </r>
  <r>
    <n v="47440"/>
    <s v="Assigned"/>
    <d v="2026-10-31T00:00:00"/>
    <s v="NAWALOKA HOSPITALS PLC"/>
    <s v="COLOMBO"/>
    <s v="EX500"/>
    <s v="1016-2-456"/>
    <s v="PMS"/>
    <x v="14"/>
    <s v="2b26d5d6-4a9e-46f9-b517-e1de8409d070"/>
    <s v="Jinson P J"/>
    <s v="This week"/>
    <s v="1016-2-456"/>
    <d v="2026-03-14T00:00:00"/>
    <d v="2025-04-23T00:00:00"/>
    <d v="2023-06-07T00:00:00"/>
    <m/>
    <s v="https://mhmpl.sangamcrm.com/tickets/2b26d5d6-4a9e-46f9-b517-e1de8409d070"/>
    <s v="NAWALOKA HOSPITALS PLC COLOMBO EX500 PMS "/>
  </r>
  <r>
    <n v="43932"/>
    <s v="Assigned"/>
    <d v="2026-11-30T00:00:00"/>
    <s v="Eye care center davangere"/>
    <s v="Davangere"/>
    <s v="REVO FC"/>
    <s v="1907159/Y"/>
    <s v="PMS"/>
    <x v="7"/>
    <s v="b4cb9a66-8f9f-423a-83f0-8d40e9591a2f"/>
    <s v="Manu Mohan"/>
    <s v="Next 30 days"/>
    <s v="1907159/Y"/>
    <d v="2026-05-07T00:00:00"/>
    <d v="2026-02-07T00:00:00"/>
    <d v="2025-10-27T00:00:00"/>
    <d v="2025-05-30T00:00:00"/>
    <s v="https://mhmpl.sangamcrm.com/tickets/b4cb9a66-8f9f-423a-83f0-8d40e9591a2f"/>
    <s v="Eye care center davangere Davangere REVO FC PMS "/>
  </r>
  <r>
    <n v="50827"/>
    <s v="Assigned"/>
    <d v="2026-11-30T00:00:00"/>
    <s v="KRISHNA EYE FOUNDATION"/>
    <s v="Dharmapuri"/>
    <s v="OA-2000"/>
    <s v="597A69052"/>
    <s v="PMS"/>
    <x v="14"/>
    <s v="fd45a8b0-da7f-4ca9-8725-1de3cba91346"/>
    <s v="Jinson P J"/>
    <s v="Next 30 days"/>
    <s v="597A69052"/>
    <d v="2026-04-29T00:00:00"/>
    <d v="2025-09-23T00:00:00"/>
    <m/>
    <m/>
    <s v="https://mhmpl.sangamcrm.com/tickets/fd45a8b0-da7f-4ca9-8725-1de3cba91346"/>
    <s v="KRISHNA EYE FOUNDATION Dharmapuri OA-2000 PMS "/>
  </r>
  <r>
    <n v="45984"/>
    <s v="Assigned"/>
    <d v="2026-11-30T00:00:00"/>
    <s v="MM JOSHI EYE INSTITUITE Dharwad"/>
    <s v="DHARWAD"/>
    <s v="REVO FC"/>
    <s v="1906482/X"/>
    <s v="PMS"/>
    <x v="6"/>
    <s v="30ff85bb-9919-4494-938e-d88919b25711"/>
    <s v="Manu Mohan"/>
    <s v="Next 30 days"/>
    <s v="1906482/X"/>
    <d v="2026-06-01T00:00:00"/>
    <d v="2025-12-17T00:00:00"/>
    <d v="2025-06-21T00:00:00"/>
    <d v="2024-12-23T00:00:00"/>
    <s v="https://mhmpl.sangamcrm.com/tickets/30ff85bb-9919-4494-938e-d88919b25711"/>
    <s v="MM JOSHI EYE INSTITUITE Dharwad DHARWAD REVO FC PMS "/>
  </r>
  <r>
    <n v="48121"/>
    <s v="Assigned"/>
    <d v="2026-10-31T00:00:00"/>
    <s v="ARAVIND EYE HOSPITAL"/>
    <s v="DINDIGUL"/>
    <s v="HS-1321"/>
    <s v="MZ04013"/>
    <s v="PMS"/>
    <x v="3"/>
    <s v="d199f00c-e67b-4f84-a056-722e159de65e"/>
    <s v="Jinson P J"/>
    <s v="This week"/>
    <s v="MZ04013"/>
    <d v="2026-05-20T00:00:00"/>
    <d v="2025-07-23T00:00:00"/>
    <d v="2025-02-26T00:00:00"/>
    <d v="2024-11-22T00:00:00"/>
    <s v="https://mhmpl.sangamcrm.com/tickets/d199f00c-e67b-4f84-a056-722e159de65e"/>
    <s v="ARAVIND EYE HOSPITAL DINDIGUL HS-1321 PMS "/>
  </r>
  <r>
    <n v="44775"/>
    <s v="Assigned"/>
    <d v="2026-11-30T00:00:00"/>
    <s v="RAYHAN EYE HOSPITAL &amp; LASIK CENTRE"/>
    <s v="Edappal"/>
    <s v="REVO 60"/>
    <s v="1911450/Z"/>
    <s v="PMS"/>
    <x v="8"/>
    <s v="a1f1346e-cdc2-43dc-a299-a39cc233c918"/>
    <s v="Rejish Baby"/>
    <s v="Next 30 days"/>
    <s v="1911450/Z"/>
    <d v="2026-05-07T00:00:00"/>
    <m/>
    <m/>
    <m/>
    <s v="https://mhmpl.sangamcrm.com/tickets/a1f1346e-cdc2-43dc-a299-a39cc233c918"/>
    <s v="RAYHAN EYE HOSPITAL &amp; LASIK CENTRE Edappal REVO 60 PMS "/>
  </r>
  <r>
    <n v="56588"/>
    <s v="In Process"/>
    <d v="2026-10-22T00:00:00"/>
    <s v="GIRIDHAR EYE INSTITUTE"/>
    <s v="Ernakulam"/>
    <s v="EX500"/>
    <s v="1016-2-546"/>
    <s v="Service"/>
    <x v="2"/>
    <s v="20708657-116e-4094-9f71-7a075e17051d"/>
    <s v="Rejish Baby"/>
    <s v="Overdue"/>
    <s v="1016-2-546"/>
    <d v="2026-09-18T00:00:00"/>
    <d v="2026-04-02T00:00:00"/>
    <d v="2025-09-22T00:00:00"/>
    <d v="2025-04-30T00:00:00"/>
    <s v="https://mhmpl.sangamcrm.com/tickets/20708657-116e-4094-9f71-7a075e17051d"/>
    <s v="GIRIDHAR EYE INSTITUTE Ernakulam EX500 Service "/>
  </r>
  <r>
    <n v="56980"/>
    <s v="Under Observation"/>
    <d v="2026-10-27T00:00:00"/>
    <s v="GIRIDHAR EYE INSTITUTE"/>
    <s v="Ernakulam"/>
    <s v="EX500"/>
    <s v="1016-2-546"/>
    <s v="Service"/>
    <x v="16"/>
    <s v="7a4d3932-68d7-43dc-ae5e-c8596bd15a72"/>
    <m/>
    <s v="Overdue"/>
    <s v="1016-2-546"/>
    <d v="2026-09-18T00:00:00"/>
    <d v="2026-04-02T00:00:00"/>
    <d v="2025-09-22T00:00:00"/>
    <d v="2025-04-30T00:00:00"/>
    <s v="https://mhmpl.sangamcrm.com/tickets/7a4d3932-68d7-43dc-ae5e-c8596bd15a72"/>
    <s v="GIRIDHAR EYE INSTITUTE Ernakulam EX500 Service "/>
  </r>
  <r>
    <n v="55383"/>
    <s v="Part Pending"/>
    <d v="2026-09-24T00:00:00"/>
    <s v="THE EYE FOUNDATION"/>
    <s v="ERODE"/>
    <s v="HS-2522BL"/>
    <s v="ML110007"/>
    <s v="Service"/>
    <x v="17"/>
    <s v="939ae84e-a307-4062-826b-de7146868f94"/>
    <s v="Jinson P J"/>
    <s v="Overdue"/>
    <s v="ML110007"/>
    <d v="2026-07-01T00:00:00"/>
    <d v="2026-05-21T00:00:00"/>
    <d v="2026-03-12T00:00:00"/>
    <d v="2026-03-12T00:00:00"/>
    <s v="https://mhmpl.sangamcrm.com/tickets/939ae84e-a307-4062-826b-de7146868f94"/>
    <s v="THE EYE FOUNDATION ERODE HS-2522BL Service "/>
  </r>
  <r>
    <n v="50345"/>
    <s v="Scheduled"/>
    <d v="2026-10-31T00:00:00"/>
    <s v="K S EYE HOSPITAL"/>
    <s v="ERODE"/>
    <s v="EX500"/>
    <s v="1016-2-362"/>
    <s v="PMS"/>
    <x v="14"/>
    <s v="a92ddab5-580b-481e-a0a2-71aa683daec7"/>
    <s v="Jinson P J"/>
    <s v="This week"/>
    <s v="1016-2-362"/>
    <d v="2026-04-21T00:00:00"/>
    <d v="2025-11-13T00:00:00"/>
    <d v="2025-05-16T00:00:00"/>
    <d v="2024-10-25T00:00:00"/>
    <s v="https://mhmpl.sangamcrm.com/tickets/a92ddab5-580b-481e-a0a2-71aa683daec7"/>
    <s v="K S EYE HOSPITAL ERODE EX500 PMS "/>
  </r>
  <r>
    <n v="42901"/>
    <s v="Assigned"/>
    <d v="2026-11-30T00:00:00"/>
    <s v="Venkateswara Nursing Home"/>
    <s v="Gudivada"/>
    <s v="HS-2522BL"/>
    <s v="OD070045"/>
    <s v="PMS"/>
    <x v="1"/>
    <s v="2bb828ff-ddb6-4ea9-92d9-5cd3574ef59c"/>
    <s v="Motty C Das"/>
    <s v="Next 30 days"/>
    <s v="OD070045"/>
    <d v="2026-05-07T00:00:00"/>
    <m/>
    <m/>
    <m/>
    <s v="https://mhmpl.sangamcrm.com/tickets/2bb828ff-ddb6-4ea9-92d9-5cd3574ef59c"/>
    <s v="Venkateswara Nursing Home Gudivada HS-2522BL PMS "/>
  </r>
  <r>
    <n v="44436"/>
    <s v="Assigned"/>
    <d v="2026-11-30T00:00:00"/>
    <s v="KAMAL EYE HOSPITAL"/>
    <s v="GULBARGA"/>
    <s v="REVO NX 130"/>
    <s v="1560621/T"/>
    <s v="PMS"/>
    <x v="7"/>
    <s v="32f925a9-2954-4889-ac0b-ac5cc5d03add"/>
    <s v="Manu Mohan"/>
    <s v="Next 30 days"/>
    <s v="1560621/T"/>
    <d v="2026-10-09T00:00:00"/>
    <d v="2026-07-29T00:00:00"/>
    <d v="2026-04-03T00:00:00"/>
    <d v="2025-11-03T00:00:00"/>
    <s v="https://mhmpl.sangamcrm.com/tickets/32f925a9-2954-4889-ac0b-ac5cc5d03add"/>
    <s v="KAMAL EYE HOSPITAL GULBARGA REVO NX 130 PMS "/>
  </r>
  <r>
    <n v="44748"/>
    <s v="Assigned"/>
    <d v="2026-11-30T00:00:00"/>
    <s v="Tara Eye Care"/>
    <s v="Guntur"/>
    <s v="REVO FC"/>
    <s v="1909205/A"/>
    <s v="PMS"/>
    <x v="1"/>
    <s v="118bbb55-2744-457b-bb12-04584c83916b"/>
    <s v="Motty C Das"/>
    <s v="Next 30 days"/>
    <s v="1909205/A"/>
    <m/>
    <m/>
    <m/>
    <m/>
    <s v="https://mhmpl.sangamcrm.com/tickets/118bbb55-2744-457b-bb12-04584c83916b"/>
    <s v="Tara Eye Care Guntur REVO FC PMS "/>
  </r>
  <r>
    <n v="52217"/>
    <s v="Assigned"/>
    <d v="2026-11-30T00:00:00"/>
    <s v="Visinova Retina Centre"/>
    <s v="Guntur"/>
    <s v="REVO 60"/>
    <s v="1910813/X"/>
    <s v="PMS"/>
    <x v="13"/>
    <s v="5f4690d1-cfd6-4de3-bf27-6a90ec197667"/>
    <s v="Motty C Das"/>
    <s v="Next 30 days"/>
    <s v="1910813/X"/>
    <d v="2026-02-02T00:00:00"/>
    <d v="2025-07-11T00:00:00"/>
    <d v="2024-12-21T00:00:00"/>
    <d v="2024-07-15T00:00:00"/>
    <s v="https://mhmpl.sangamcrm.com/tickets/5f4690d1-cfd6-4de3-bf27-6a90ec197667"/>
    <s v="Visinova Retina Centre Guntur REVO 60 PMS "/>
  </r>
  <r>
    <n v="46206"/>
    <s v="Assigned"/>
    <d v="2026-10-31T00:00:00"/>
    <s v="MM JOSHI EYE INSTITUTE koppal"/>
    <s v="HOSPET"/>
    <s v="REVO FC"/>
    <s v="1900317/U"/>
    <s v="PMS"/>
    <x v="6"/>
    <s v="7c2960e8-9421-491b-acb5-11166167d894"/>
    <s v="Manu Mohan"/>
    <s v="This week"/>
    <s v="1900317/U"/>
    <d v="2026-07-11T00:00:00"/>
    <d v="2025-07-06T00:00:00"/>
    <d v="2024-03-12T00:00:00"/>
    <d v="2023-09-08T00:00:00"/>
    <s v="https://mhmpl.sangamcrm.com/tickets/7c2960e8-9421-491b-acb5-11166167d894"/>
    <s v="MM JOSHI EYE INSTITUTE koppal HOSPET REVO FC PMS "/>
  </r>
  <r>
    <n v="47165"/>
    <s v="Assigned"/>
    <d v="2026-10-31T00:00:00"/>
    <s v="The Eye foundation hosur"/>
    <s v="Hosur"/>
    <s v="HS-2522BL"/>
    <s v="0D020013"/>
    <s v="PMS"/>
    <x v="6"/>
    <s v="d3b0cfcb-f89f-4ea0-8136-0b0e82898f1b"/>
    <s v="Manu Mohan"/>
    <s v="This week"/>
    <s v="0D020013"/>
    <d v="2026-02-26T00:00:00"/>
    <d v="2025-10-28T00:00:00"/>
    <m/>
    <m/>
    <s v="https://mhmpl.sangamcrm.com/tickets/d3b0cfcb-f89f-4ea0-8136-0b0e82898f1b"/>
    <s v="The Eye foundation hosur Hosur HS-2522BL PMS "/>
  </r>
  <r>
    <n v="47756"/>
    <s v="Assigned"/>
    <d v="2026-10-31T00:00:00"/>
    <s v="Karnataka institute of medical science"/>
    <s v="HUBLI"/>
    <s v="EM-4000"/>
    <s v="436008"/>
    <s v="PMS"/>
    <x v="6"/>
    <s v="bc6ff640-32cd-449f-ae47-e016e6b7cf36"/>
    <s v="Manu Mohan"/>
    <s v="This week"/>
    <s v="436008"/>
    <d v="2026-04-22T00:00:00"/>
    <d v="2025-10-08T00:00:00"/>
    <m/>
    <m/>
    <s v="https://mhmpl.sangamcrm.com/tickets/bc6ff640-32cd-449f-ae47-e016e6b7cf36"/>
    <s v="Karnataka institute of medical science HUBLI EM-4000 PMS "/>
  </r>
  <r>
    <n v="45653"/>
    <s v="Assigned"/>
    <d v="2026-11-30T00:00:00"/>
    <s v="SMART VISION EYE HOSPITAL MAIN BRANCH"/>
    <s v="Hyderabad"/>
    <s v="EM-4000"/>
    <s v="313A11062"/>
    <s v="PMS"/>
    <x v="18"/>
    <s v="f70f8d0c-6e95-4e2a-b7f9-60b4a1662106"/>
    <s v="Bibin Vijayan"/>
    <s v="Next 30 days"/>
    <s v="313A11062"/>
    <d v="2026-07-28T00:00:00"/>
    <m/>
    <m/>
    <m/>
    <s v="https://mhmpl.sangamcrm.com/tickets/f70f8d0c-6e95-4e2a-b7f9-60b4a1662106"/>
    <s v="SMART VISION EYE HOSPITAL MAIN BRANCH Hyderabad EM-4000 PMS "/>
  </r>
  <r>
    <n v="43314"/>
    <s v="Assigned"/>
    <d v="2026-10-31T00:00:00"/>
    <s v="SRI SHANKARA NETHRALAYA"/>
    <s v="HYDERABAD"/>
    <s v="IDRA FULL"/>
    <s v="I20250121"/>
    <s v="PMS"/>
    <x v="18"/>
    <s v="3e92f775-15ad-4130-ae03-31653ededa11"/>
    <s v="Bibin Vijayan"/>
    <s v="This week"/>
    <s v="I20250121"/>
    <d v="2026-07-13T00:00:00"/>
    <m/>
    <m/>
    <m/>
    <s v="https://mhmpl.sangamcrm.com/tickets/3e92f775-15ad-4130-ae03-31653ededa11"/>
    <s v="SRI SHANKARA NETHRALAYA HYDERABAD IDRA FULL PMS "/>
  </r>
  <r>
    <n v="43316"/>
    <s v="Assigned"/>
    <d v="2026-10-31T00:00:00"/>
    <s v="SRI SHANKARA NETHRALAYA"/>
    <s v="HYDERABAD"/>
    <s v="E-Eye"/>
    <s v="D029AF001C08A022060019"/>
    <s v="PMS"/>
    <x v="18"/>
    <s v="35852197-43a4-40a8-9410-eb4ec91c5b35"/>
    <s v="Bibin Vijayan"/>
    <s v="This week"/>
    <s v="D029AF001C08A022060019"/>
    <d v="2026-07-13T00:00:00"/>
    <m/>
    <m/>
    <m/>
    <s v="https://mhmpl.sangamcrm.com/tickets/35852197-43a4-40a8-9410-eb4ec91c5b35"/>
    <s v="SRI SHANKARA NETHRALAYA HYDERABAD E-Eye PMS "/>
  </r>
  <r>
    <n v="45655"/>
    <s v="Assigned"/>
    <d v="2026-11-30T00:00:00"/>
    <s v="Y KISHAN RAO BALNAGAR LIONS EYE HOSPITAL"/>
    <s v="HYDERABAD"/>
    <s v="OA-2000"/>
    <s v="026B53052"/>
    <s v="PMS"/>
    <x v="18"/>
    <s v="74dd2d2c-9b67-41fc-8f5f-66843614296e"/>
    <s v="Bibin Vijayan"/>
    <s v="Next 30 days"/>
    <s v="026B53052"/>
    <d v="2026-05-29T00:00:00"/>
    <m/>
    <m/>
    <m/>
    <s v="https://mhmpl.sangamcrm.com/tickets/74dd2d2c-9b67-41fc-8f5f-66843614296e"/>
    <s v="Y KISHAN RAO BALNAGAR LIONS EYE HOSPITAL HYDERABAD OA-2000 PMS "/>
  </r>
  <r>
    <n v="56908"/>
    <s v="Scheduled"/>
    <d v="2026-10-26T00:00:00"/>
    <s v="American Laser Eye Hospital(AS Rao nagar)"/>
    <s v="Hyderabad"/>
    <s v="MR-6000"/>
    <s v="437012"/>
    <s v="Service"/>
    <x v="18"/>
    <s v="d77da867-6723-487c-a9e2-74d321311b3b"/>
    <s v="Bibin Vijayan"/>
    <s v="Overdue"/>
    <s v="437012"/>
    <d v="2026-07-06T00:00:00"/>
    <d v="2026-03-06T00:00:00"/>
    <m/>
    <m/>
    <s v="https://mhmpl.sangamcrm.com/tickets/d77da867-6723-487c-a9e2-74d321311b3b"/>
    <s v="American Laser Eye Hospital(AS Rao nagar) Hyderabad MR-6000 Service "/>
  </r>
  <r>
    <n v="53531"/>
    <s v="Instrument at OEM Factory"/>
    <d v="2026-08-10T00:00:00"/>
    <s v="L V PRASAD EYE INSTITUTE Hyderabad"/>
    <s v="HYDERABAD"/>
    <s v="CASIA2"/>
    <s v="438709"/>
    <s v="Service"/>
    <x v="19"/>
    <s v="3d3e6020-1b6f-4106-bf57-3ae91ce26fef"/>
    <s v="Bibin Vijayan"/>
    <s v="Overdue"/>
    <s v="438709"/>
    <d v="2026-07-24T00:00:00"/>
    <d v="2026-01-14T00:00:00"/>
    <m/>
    <m/>
    <s v="https://mhmpl.sangamcrm.com/tickets/3d3e6020-1b6f-4106-bf57-3ae91ce26fef"/>
    <s v="L V PRASAD EYE INSTITUTE Hyderabad HYDERABAD CASIA2 Service "/>
  </r>
  <r>
    <n v="42748"/>
    <s v="Assigned"/>
    <d v="2026-10-31T00:00:00"/>
    <s v="PROVISION NETHRA DIAGNOSTICS"/>
    <s v="HYDERABAD"/>
    <s v="MS-39"/>
    <s v="24060724"/>
    <s v="PMS"/>
    <x v="19"/>
    <s v="2c3b122f-ed77-426b-8750-1efd7c2ba1ca"/>
    <s v="Bibin Vijayan"/>
    <s v="This week"/>
    <s v="24060724"/>
    <d v="2026-05-29T00:00:00"/>
    <d v="2025-12-18T00:00:00"/>
    <d v="2025-07-15T00:00:00"/>
    <m/>
    <s v="https://mhmpl.sangamcrm.com/tickets/2c3b122f-ed77-426b-8750-1efd7c2ba1ca"/>
    <s v="PROVISION NETHRA DIAGNOSTICS HYDERABAD MS-39 PMS "/>
  </r>
  <r>
    <n v="56807"/>
    <s v="Assigned"/>
    <d v="2026-11-30T00:00:00"/>
    <s v="APOLLO HOSPITALS Hyderabad"/>
    <s v="Hyderabad"/>
    <s v="HS-3041BL"/>
    <s v="OT020026"/>
    <s v="PMS"/>
    <x v="18"/>
    <s v="c7d0339d-a548-407b-8592-70a615a08e4c"/>
    <s v="Bibin Vijayan"/>
    <s v="Next 30 days"/>
    <s v="OT020026"/>
    <d v="2026-08-25T00:00:00"/>
    <d v="2025-05-06T00:00:00"/>
    <d v="2024-11-07T00:00:00"/>
    <m/>
    <s v="https://mhmpl.sangamcrm.com/tickets/c7d0339d-a548-407b-8592-70a615a08e4c"/>
    <s v="APOLLO HOSPITALS Hyderabad Hyderabad HS-3041BL PMS "/>
  </r>
  <r>
    <n v="45995"/>
    <s v="Assigned"/>
    <d v="2026-11-30T00:00:00"/>
    <s v="Ramesh lasik and laser centre suchitra"/>
    <s v="Hyderabad"/>
    <s v="SIRIUS+"/>
    <s v="23101962"/>
    <s v="PMS"/>
    <x v="19"/>
    <s v="4c1824e2-cf53-4dde-b734-32f90637eda8"/>
    <s v="Bibin Vijayan"/>
    <s v="Next 30 days"/>
    <s v="23101962"/>
    <d v="2026-05-04T00:00:00"/>
    <d v="2025-11-06T00:00:00"/>
    <d v="2025-07-18T00:00:00"/>
    <d v="2024-08-28T00:00:00"/>
    <s v="https://mhmpl.sangamcrm.com/tickets/4c1824e2-cf53-4dde-b734-32f90637eda8"/>
    <s v="Ramesh lasik and laser centre suchitra Hyderabad SIRIUS+ PMS "/>
  </r>
  <r>
    <n v="52326"/>
    <s v="Instrument at OEM Factory"/>
    <d v="2026-07-20T00:00:00"/>
    <s v="Ramesh lasik and laser centre suchitra"/>
    <s v="Hyderabad"/>
    <s v="SIRIUS+"/>
    <s v="23101962"/>
    <s v="Service"/>
    <x v="19"/>
    <s v="4bfd9e23-0eff-4c19-8a52-80cc1ca990e3"/>
    <s v="Bibin Vijayan"/>
    <s v="Overdue"/>
    <s v="23101962"/>
    <d v="2026-05-04T00:00:00"/>
    <d v="2025-11-06T00:00:00"/>
    <d v="2025-07-18T00:00:00"/>
    <d v="2024-08-28T00:00:00"/>
    <s v="https://mhmpl.sangamcrm.com/tickets/4bfd9e23-0eff-4c19-8a52-80cc1ca990e3"/>
    <s v="Ramesh lasik and laser centre suchitra Hyderabad SIRIUS+ Service "/>
  </r>
  <r>
    <n v="52220"/>
    <s v="Assigned"/>
    <d v="2026-11-30T00:00:00"/>
    <s v="Star Hospitals Nanakuramguda"/>
    <s v="Hyderabad"/>
    <s v="HS-2522BL"/>
    <s v="OT030084"/>
    <s v="PMS"/>
    <x v="19"/>
    <s v="b41ddd21-df05-4630-afdf-017a688749b0"/>
    <s v="Bibin Vijayan"/>
    <s v="Next 30 days"/>
    <s v="OT030084"/>
    <d v="2026-03-12T00:00:00"/>
    <d v="2025-09-26T00:00:00"/>
    <d v="2024-03-23T00:00:00"/>
    <d v="2023-11-28T00:00:00"/>
    <s v="https://mhmpl.sangamcrm.com/tickets/b41ddd21-df05-4630-afdf-017a688749b0"/>
    <s v="Star Hospitals Nanakuramguda Hyderabad HS-2522BL PMS "/>
  </r>
  <r>
    <n v="44446"/>
    <s v="Assigned"/>
    <d v="2026-11-30T00:00:00"/>
    <s v="Orient Eye Hospital"/>
    <s v="Hyderabad"/>
    <s v="Antares+"/>
    <s v="23010142"/>
    <s v="PMS"/>
    <x v="4"/>
    <s v="38a42ec8-bcb8-4ffb-920e-f972d5bb808a"/>
    <s v="Bibin Vijayan"/>
    <s v="Next 30 days"/>
    <s v="23010142"/>
    <d v="2026-05-26T00:00:00"/>
    <d v="2024-01-17T00:00:00"/>
    <d v="2023-07-25T00:00:00"/>
    <m/>
    <s v="https://mhmpl.sangamcrm.com/tickets/38a42ec8-bcb8-4ffb-920e-f972d5bb808a"/>
    <s v="Orient Eye Hospital Hyderabad Antares+ PMS "/>
  </r>
  <r>
    <n v="53564"/>
    <s v="Assigned"/>
    <d v="2026-11-30T00:00:00"/>
    <s v="RAMESH LASIK &amp; LASER CENTRE"/>
    <s v="HYDERABAD"/>
    <s v="HS-3041BL"/>
    <s v="OO040057"/>
    <s v="PMS"/>
    <x v="19"/>
    <s v="210fe123-cfee-4594-afc0-3ada0f1992f2"/>
    <s v="Bibin Vijayan"/>
    <s v="Next 30 days"/>
    <s v="OO040057"/>
    <d v="2026-04-26T00:00:00"/>
    <d v="2026-01-03T00:00:00"/>
    <d v="2025-05-13T00:00:00"/>
    <d v="2024-11-05T00:00:00"/>
    <s v="https://mhmpl.sangamcrm.com/tickets/210fe123-cfee-4594-afc0-3ada0f1992f2"/>
    <s v="RAMESH LASIK &amp; LASER CENTRE HYDERABAD HS-3041BL PMS "/>
  </r>
  <r>
    <n v="48183"/>
    <s v="Assigned"/>
    <d v="2026-11-30T00:00:00"/>
    <s v="Hyderabad Eye Hospital"/>
    <s v="Hyderabad"/>
    <s v="REVO FC"/>
    <s v="1905148"/>
    <s v="PMS"/>
    <x v="19"/>
    <s v="c007bb4c-6497-4884-a4f7-def716e5d9ea"/>
    <s v="Bibin Vijayan"/>
    <s v="Next 30 days"/>
    <s v="1905148"/>
    <d v="2026-06-05T00:00:00"/>
    <d v="2026-03-02T00:00:00"/>
    <d v="2025-07-15T00:00:00"/>
    <d v="2022-12-29T00:00:00"/>
    <s v="https://mhmpl.sangamcrm.com/tickets/c007bb4c-6497-4884-a4f7-def716e5d9ea"/>
    <s v="Hyderabad Eye Hospital Hyderabad REVO FC PMS "/>
  </r>
  <r>
    <n v="44452"/>
    <s v="Assigned"/>
    <d v="2026-11-30T00:00:00"/>
    <s v="PSR EYE HOSPITAL"/>
    <s v="HYDERABAD"/>
    <s v="OA-2000"/>
    <s v="410A82112"/>
    <s v="PMS"/>
    <x v="4"/>
    <s v="1b5fe5d5-5656-4180-8bac-340ca2612a14"/>
    <s v="Bibin Vijayan"/>
    <s v="Next 30 days"/>
    <s v="410A82112"/>
    <d v="2026-05-12T00:00:00"/>
    <d v="2024-09-04T00:00:00"/>
    <d v="2024-03-18T00:00:00"/>
    <d v="2022-12-12T00:00:00"/>
    <s v="https://mhmpl.sangamcrm.com/tickets/1b5fe5d5-5656-4180-8bac-340ca2612a14"/>
    <s v="PSR EYE HOSPITAL HYDERABAD OA-2000 PMS "/>
  </r>
  <r>
    <n v="52215"/>
    <s v="Assigned"/>
    <d v="2026-11-30T00:00:00"/>
    <s v="ENVISION LASIK CENTRE"/>
    <s v="HYDERABAD"/>
    <s v="SIRIUS"/>
    <s v="20023758"/>
    <s v="PMS"/>
    <x v="18"/>
    <s v="a2167b30-ba80-44b5-8b14-4c1d0a8d1db9"/>
    <s v="Bibin Vijayan"/>
    <s v="Next 30 days"/>
    <s v="20023758"/>
    <d v="2026-05-28T00:00:00"/>
    <d v="2025-12-09T00:00:00"/>
    <d v="2025-05-17T00:00:00"/>
    <d v="2024-11-16T00:00:00"/>
    <s v="https://mhmpl.sangamcrm.com/tickets/a2167b30-ba80-44b5-8b14-4c1d0a8d1db9"/>
    <s v="ENVISION LASIK CENTRE HYDERABAD SIRIUS PMS "/>
  </r>
  <r>
    <n v="53346"/>
    <s v="Assigned"/>
    <d v="2026-11-30T00:00:00"/>
    <s v="ENVISION LASIK CENTRE"/>
    <s v="Hyderabad"/>
    <s v="EX500"/>
    <s v="1016-4-1082"/>
    <s v="PMS"/>
    <x v="19"/>
    <s v="002b64a4-19e7-41b5-9b73-ec7966176348"/>
    <s v="Bibin Vijayan"/>
    <s v="Next 30 days"/>
    <s v="1016-4-1082"/>
    <d v="2026-04-30T00:00:00"/>
    <d v="2025-12-17T00:00:00"/>
    <d v="2024-12-05T00:00:00"/>
    <d v="2024-04-27T00:00:00"/>
    <s v="https://mhmpl.sangamcrm.com/tickets/002b64a4-19e7-41b5-9b73-ec7966176348"/>
    <s v="ENVISION LASIK CENTRE Hyderabad EX500 PMS "/>
  </r>
  <r>
    <n v="44450"/>
    <s v="Assigned"/>
    <d v="2026-11-30T00:00:00"/>
    <s v="PSR EYE HOSPITAL"/>
    <s v="HYDERABAD"/>
    <s v="HS-3041BL"/>
    <s v="ML120080"/>
    <s v="PMS"/>
    <x v="19"/>
    <s v="94ea2815-1375-4985-a29e-4914f0057931"/>
    <s v="Bibin Vijayan"/>
    <s v="Next 30 days"/>
    <s v="ML120080"/>
    <d v="2026-05-12T00:00:00"/>
    <m/>
    <m/>
    <m/>
    <s v="https://mhmpl.sangamcrm.com/tickets/94ea2815-1375-4985-a29e-4914f0057931"/>
    <s v="PSR EYE HOSPITAL HYDERABAD HS-3041BL PMS "/>
  </r>
  <r>
    <n v="44454"/>
    <s v="Assigned"/>
    <d v="2026-11-30T00:00:00"/>
    <s v="PSR EYE HOSPITAL"/>
    <s v="HYDERABAD"/>
    <s v="SIRIUS"/>
    <s v="17102927"/>
    <s v="PMS"/>
    <x v="19"/>
    <s v="c77dc63c-5000-4675-8b4a-1d6e6dd6ddaf"/>
    <s v="Bibin Vijayan"/>
    <s v="Next 30 days"/>
    <s v="17102927"/>
    <d v="2026-05-12T00:00:00"/>
    <m/>
    <m/>
    <m/>
    <s v="https://mhmpl.sangamcrm.com/tickets/c77dc63c-5000-4675-8b4a-1d6e6dd6ddaf"/>
    <s v="PSR EYE HOSPITAL HYDERABAD SIRIUS PMS "/>
  </r>
  <r>
    <n v="56803"/>
    <s v="Assigned"/>
    <d v="2026-11-30T00:00:00"/>
    <s v="APOLLO HOSPITALS Hyderabad"/>
    <s v="Hyderabad"/>
    <s v="SL9900 ELITE"/>
    <s v="16060272"/>
    <s v="PMS"/>
    <x v="18"/>
    <s v="544be2f4-b844-4117-bcd9-3a4f92e0917f"/>
    <s v="Bibin Vijayan"/>
    <s v="Next 30 days"/>
    <s v="16060272"/>
    <d v="2026-08-26T00:00:00"/>
    <d v="2026-02-07T00:00:00"/>
    <d v="2025-07-26T00:00:00"/>
    <d v="2025-02-05T00:00:00"/>
    <s v="https://mhmpl.sangamcrm.com/tickets/544be2f4-b844-4117-bcd9-3a4f92e0917f"/>
    <s v="APOLLO HOSPITALS Hyderabad Hyderabad SL9900 ELITE PMS "/>
  </r>
  <r>
    <n v="47814"/>
    <s v="Assigned"/>
    <d v="2026-11-02T00:00:00"/>
    <s v="WIN VISION EYE HOSPITALS"/>
    <s v="Hyderabad"/>
    <s v="FS200"/>
    <s v="1025-1-214"/>
    <s v="PMS"/>
    <x v="4"/>
    <s v="07a4a6c0-1b0e-4d47-a970-26735e708728"/>
    <s v="Bibin Vijayan"/>
    <s v="This week"/>
    <s v="1025-1-214"/>
    <d v="2026-05-27T00:00:00"/>
    <d v="2025-12-04T00:00:00"/>
    <d v="2024-12-05T00:00:00"/>
    <d v="2023-10-25T00:00:00"/>
    <s v="https://mhmpl.sangamcrm.com/tickets/07a4a6c0-1b0e-4d47-a970-26735e708728"/>
    <s v="WIN VISION EYE HOSPITALS Hyderabad FS200 PMS "/>
  </r>
  <r>
    <n v="56801"/>
    <s v="Assigned"/>
    <d v="2026-11-30T00:00:00"/>
    <s v="APOLLO HOSPITALS Hyderabad"/>
    <s v="Hyderabad"/>
    <s v="CCL-365 VARIO"/>
    <s v="0041-0065"/>
    <s v="PMS"/>
    <x v="18"/>
    <s v="f8457dda-e449-4164-8067-838cd0468a90"/>
    <s v="Bibin Vijayan"/>
    <s v="Next 30 days"/>
    <s v="0041-0065"/>
    <d v="2026-08-26T00:00:00"/>
    <d v="2026-02-16T00:00:00"/>
    <d v="2025-08-20T00:00:00"/>
    <d v="2025-02-05T00:00:00"/>
    <s v="https://mhmpl.sangamcrm.com/tickets/f8457dda-e449-4164-8067-838cd0468a90"/>
    <s v="APOLLO HOSPITALS Hyderabad Hyderabad CCL-365 VARIO PMS "/>
  </r>
  <r>
    <n v="56805"/>
    <s v="Assigned"/>
    <d v="2026-11-30T00:00:00"/>
    <s v="APOLLO HOSPITALS Hyderabad"/>
    <s v="Hyderabad"/>
    <s v="SIRIUS"/>
    <s v="15092322"/>
    <s v="PMS"/>
    <x v="18"/>
    <s v="f99103fb-03aa-45bf-81bd-9720f8de0908"/>
    <s v="Bibin Vijayan"/>
    <s v="Next 30 days"/>
    <s v="15092322"/>
    <d v="2026-08-04T00:00:00"/>
    <d v="2026-02-14T00:00:00"/>
    <d v="2025-07-24T00:00:00"/>
    <d v="2025-02-05T00:00:00"/>
    <s v="https://mhmpl.sangamcrm.com/tickets/f99103fb-03aa-45bf-81bd-9720f8de0908"/>
    <s v="APOLLO HOSPITALS Hyderabad Hyderabad SIRIUS PMS "/>
  </r>
  <r>
    <n v="44411"/>
    <s v="Assigned"/>
    <d v="2026-06-15T00:00:00"/>
    <s v="SRI SHANKARA NETHRALAYA"/>
    <s v="HYDERABAD"/>
    <s v="UV-X 1000"/>
    <s v="1000-108-06"/>
    <s v="PMS"/>
    <x v="18"/>
    <s v="4e025054-07c4-4300-88ed-a87700fe13af"/>
    <s v="Bibin Vijayan"/>
    <s v="Overdue"/>
    <s v="1000-108-06"/>
    <d v="2025-03-06T00:00:00"/>
    <d v="2024-08-23T00:00:00"/>
    <d v="2024-03-23T00:00:00"/>
    <d v="2023-08-03T00:00:00"/>
    <s v="https://mhmpl.sangamcrm.com/tickets/4e025054-07c4-4300-88ed-a87700fe13af"/>
    <s v="SRI SHANKARA NETHRALAYA HYDERABAD UV-X 1000 PMS "/>
  </r>
  <r>
    <n v="44412"/>
    <s v="Assigned"/>
    <d v="2026-10-31T00:00:00"/>
    <s v="SRI SHANKARA NETHRALAYA"/>
    <s v="HYDERABAD"/>
    <s v="UV-X 1000"/>
    <s v="1000-108-06"/>
    <s v="PMS"/>
    <x v="4"/>
    <s v="377b6b47-bc2a-4c66-bdac-a48db5252bd6"/>
    <s v="Bibin Vijayan"/>
    <s v="This week"/>
    <s v="1000-108-06"/>
    <d v="2025-03-06T00:00:00"/>
    <d v="2024-08-23T00:00:00"/>
    <d v="2024-03-23T00:00:00"/>
    <d v="2023-08-03T00:00:00"/>
    <s v="https://mhmpl.sangamcrm.com/tickets/377b6b47-bc2a-4c66-bdac-a48db5252bd6"/>
    <s v="SRI SHANKARA NETHRALAYA HYDERABAD UV-X 1000 PMS "/>
  </r>
  <r>
    <n v="56250"/>
    <s v="Part Pending"/>
    <d v="2026-10-14T00:00:00"/>
    <s v="VASAN EYE CARE SECUNDERABAD"/>
    <s v="Hyderabad"/>
    <s v="EX500"/>
    <s v="1016-2-313"/>
    <s v="Service"/>
    <x v="19"/>
    <s v="7a6d3a7e-1357-4244-a982-b71e76844d95"/>
    <s v="Bibin Vijayan"/>
    <s v="Overdue"/>
    <s v="1016-2-313"/>
    <d v="2026-05-05T00:00:00"/>
    <d v="2025-12-20T00:00:00"/>
    <d v="2025-06-19T00:00:00"/>
    <d v="2025-01-13T00:00:00"/>
    <s v="https://mhmpl.sangamcrm.com/tickets/7a6d3a7e-1357-4244-a982-b71e76844d95"/>
    <s v="VASAN EYE CARE SECUNDERABAD Hyderabad EX500 Service "/>
  </r>
  <r>
    <n v="56245"/>
    <s v="Part Pending"/>
    <d v="2026-10-14T00:00:00"/>
    <s v="VASAN EYE CARE SECUNDERABAD"/>
    <s v="Hyderabad"/>
    <s v="EVOLUTION 3E"/>
    <s v="7668"/>
    <s v="Service"/>
    <x v="19"/>
    <s v="ec85f73f-4b70-4ecf-b171-ddb89e307e63"/>
    <s v="Bibin Vijayan"/>
    <s v="Overdue"/>
    <s v="7668"/>
    <m/>
    <m/>
    <m/>
    <m/>
    <s v="https://mhmpl.sangamcrm.com/tickets/ec85f73f-4b70-4ecf-b171-ddb89e307e63"/>
    <s v="VASAN EYE CARE SECUNDERABAD Hyderabad EVOLUTION 3E Service "/>
  </r>
  <r>
    <n v="54031"/>
    <s v="Ready to Review &amp; Close"/>
    <d v="2026-08-24T00:00:00"/>
    <s v="APOLLO HOSPITALS Hyderabad"/>
    <s v="Hyderabad"/>
    <s v="MR-6000"/>
    <s v="424106"/>
    <s v="Installation"/>
    <x v="18"/>
    <s v="a99920c7-8b34-4728-8082-af2ac8de4947"/>
    <s v="Bibin Vijayan"/>
    <s v="Overdue"/>
    <m/>
    <m/>
    <m/>
    <m/>
    <m/>
    <s v="https://mhmpl.sangamcrm.com/tickets/a99920c7-8b34-4728-8082-af2ac8de4947"/>
    <s v="APOLLO HOSPITALS Hyderabad Hyderabad MR-6000 Installation "/>
  </r>
  <r>
    <n v="45738"/>
    <s v="Assigned"/>
    <d v="2026-11-30T00:00:00"/>
    <s v="L V PRASAD EYE INSTITUTE Hyderabad"/>
    <s v="HYDERABAD"/>
    <s v="PXL PLATINUM 330"/>
    <s v="23040377"/>
    <s v="PMS"/>
    <x v="18"/>
    <s v="fc5bd7f5-9e5c-4259-af79-9ea7a56490ea"/>
    <s v="Bibin Vijayan"/>
    <s v="Next 30 days"/>
    <m/>
    <m/>
    <m/>
    <m/>
    <m/>
    <s v="https://mhmpl.sangamcrm.com/tickets/fc5bd7f5-9e5c-4259-af79-9ea7a56490ea"/>
    <s v="L V PRASAD EYE INSTITUTE Hyderabad HYDERABAD PXL PLATINUM 330 PMS "/>
  </r>
  <r>
    <n v="46013"/>
    <s v="Escalated to Parent Company"/>
    <d v="2026-02-24T00:00:00"/>
    <s v="L V PRASAD EYE INSTITUTE Hyderabad"/>
    <s v="HYDERABAD"/>
    <s v="PXL PLATINUM 330"/>
    <s v="23040377"/>
    <s v="Service"/>
    <x v="4"/>
    <s v="9901a9a8-2bca-4ec5-85b5-0f64e67806dc"/>
    <s v="Bibin Vijayan"/>
    <s v="Overdue"/>
    <m/>
    <m/>
    <m/>
    <m/>
    <m/>
    <s v="https://mhmpl.sangamcrm.com/tickets/9901a9a8-2bca-4ec5-85b5-0f64e67806dc"/>
    <s v="L V PRASAD EYE INSTITUTE Hyderabad HYDERABAD PXL PLATINUM 330 Service "/>
  </r>
  <r>
    <n v="48999"/>
    <s v="Assigned"/>
    <d v="2026-11-30T00:00:00"/>
    <s v="MM JOSHI EYE INSTITUTE JAMKHANDI"/>
    <s v="Jamkandi"/>
    <s v="REVO FC"/>
    <s v="1905721/W"/>
    <s v="PMS"/>
    <x v="7"/>
    <s v="a5b4b595-c18f-4d2d-9358-e77c365cc03c"/>
    <s v="Manu Mohan"/>
    <s v="Next 30 days"/>
    <s v="1905721/W"/>
    <d v="2026-05-07T00:00:00"/>
    <d v="2026-01-31T00:00:00"/>
    <d v="2025-05-29T00:00:00"/>
    <d v="2025-02-14T00:00:00"/>
    <s v="https://mhmpl.sangamcrm.com/tickets/a5b4b595-c18f-4d2d-9358-e77c365cc03c"/>
    <s v="MM JOSHI EYE INSTITUTE JAMKHANDI Jamkandi REVO FC PMS "/>
  </r>
  <r>
    <n v="52349"/>
    <s v="Assigned"/>
    <d v="2026-11-30T00:00:00"/>
    <s v="District Headquarters Hospital"/>
    <s v="KANCHIPURAM"/>
    <s v="REVO 60"/>
    <s v="1910420/W"/>
    <s v="PMS"/>
    <x v="12"/>
    <s v="2d123309-8727-4f03-a7b4-5dd4294dcaa8"/>
    <s v="Manivannan D"/>
    <s v="Next 30 days"/>
    <s v="1910420/W"/>
    <d v="2026-09-05T00:00:00"/>
    <d v="2026-06-24T00:00:00"/>
    <d v="2026-03-23T00:00:00"/>
    <d v="2025-12-05T00:00:00"/>
    <s v="https://mhmpl.sangamcrm.com/tickets/2d123309-8727-4f03-a7b4-5dd4294dcaa8"/>
    <s v="District Headquarters Hospital KANCHIPURAM REVO 60 PMS "/>
  </r>
  <r>
    <n v="49104"/>
    <s v="Assigned"/>
    <d v="2026-10-31T00:00:00"/>
    <s v="ST JOSEPH EYE HOSPITAL"/>
    <s v="Kanjirappally"/>
    <s v="REVO 60"/>
    <s v="1910538/X"/>
    <s v="PMS"/>
    <x v="0"/>
    <s v="18182394-5da1-4da8-b36d-d6ed9c05bc2c"/>
    <s v="Rejish Baby"/>
    <s v="This week"/>
    <s v="1910538/X"/>
    <d v="2026-05-30T00:00:00"/>
    <d v="2025-08-23T00:00:00"/>
    <d v="2025-04-25T00:00:00"/>
    <d v="2024-09-28T00:00:00"/>
    <s v="https://mhmpl.sangamcrm.com/tickets/18182394-5da1-4da8-b36d-d6ed9c05bc2c"/>
    <s v="ST JOSEPH EYE HOSPITAL Kanjirappally REVO 60 PMS "/>
  </r>
  <r>
    <n v="46046"/>
    <s v="Assigned"/>
    <d v="2026-11-30T00:00:00"/>
    <s v="DR AGARWALS EYE HOSPITAL"/>
    <s v="KANNUR"/>
    <s v="Pachette 4"/>
    <s v="1787"/>
    <s v="PMS"/>
    <x v="0"/>
    <s v="a506a7af-3c14-4c66-af52-fb552bb6cdd4"/>
    <s v="Rejish Baby"/>
    <s v="Next 30 days"/>
    <s v="1787"/>
    <d v="2026-06-20T00:00:00"/>
    <m/>
    <m/>
    <m/>
    <s v="https://mhmpl.sangamcrm.com/tickets/a506a7af-3c14-4c66-af52-fb552bb6cdd4"/>
    <s v="DR AGARWALS EYE HOSPITAL KANNUR Pachette 4 PMS "/>
  </r>
  <r>
    <n v="46044"/>
    <s v="Assigned"/>
    <d v="2026-11-30T00:00:00"/>
    <s v="DR AGARWALS EYE HOSPITAL"/>
    <s v="KANNUR"/>
    <s v="TMS-4N"/>
    <s v="567906"/>
    <s v="PMS"/>
    <x v="0"/>
    <s v="c1113719-845c-4be3-ab42-9dadaffc1b15"/>
    <s v="Rejish Baby"/>
    <s v="Next 30 days"/>
    <s v="567906"/>
    <d v="2026-06-20T00:00:00"/>
    <m/>
    <m/>
    <m/>
    <s v="https://mhmpl.sangamcrm.com/tickets/c1113719-845c-4be3-ab42-9dadaffc1b15"/>
    <s v="DR AGARWALS EYE HOSPITAL KANNUR TMS-4N PMS "/>
  </r>
  <r>
    <n v="46050"/>
    <s v="Assigned"/>
    <d v="2026-11-30T00:00:00"/>
    <s v="DR AGARWALS EYE HOSPITAL"/>
    <s v="KANNUR"/>
    <s v="REVO FC"/>
    <s v="1908529/Z"/>
    <s v="PMS"/>
    <x v="0"/>
    <s v="f9042c08-9b2b-4ebb-9256-a84aec6f3845"/>
    <s v="Rejish Baby"/>
    <s v="Next 30 days"/>
    <s v="1908529/Z"/>
    <d v="2026-06-20T00:00:00"/>
    <m/>
    <m/>
    <m/>
    <s v="https://mhmpl.sangamcrm.com/tickets/f9042c08-9b2b-4ebb-9256-a84aec6f3845"/>
    <s v="DR AGARWALS EYE HOSPITAL KANNUR REVO FC PMS "/>
  </r>
  <r>
    <n v="46048"/>
    <s v="Assigned"/>
    <d v="2026-11-30T00:00:00"/>
    <s v="DR AGARWALS EYE HOSPITAL"/>
    <s v="KANNUR"/>
    <s v="DGH 6000"/>
    <s v="1485"/>
    <s v="PMS"/>
    <x v="0"/>
    <s v="7f6d1f40-7db0-4262-94d1-77afe089a8b2"/>
    <s v="Rejish Baby"/>
    <s v="Next 30 days"/>
    <s v="1485"/>
    <d v="2026-06-20T00:00:00"/>
    <m/>
    <m/>
    <m/>
    <s v="https://mhmpl.sangamcrm.com/tickets/7f6d1f40-7db0-4262-94d1-77afe089a8b2"/>
    <s v="DR AGARWALS EYE HOSPITAL KANNUR DGH 6000 PMS "/>
  </r>
  <r>
    <n v="43582"/>
    <s v="Assigned"/>
    <d v="2026-10-31T00:00:00"/>
    <s v="DR.BHAT'S NETHRAJYOTHI EYE HOSPITAL"/>
    <s v="KANNUR"/>
    <s v="REVO FC"/>
    <s v="1908362/Z"/>
    <s v="PMS"/>
    <x v="8"/>
    <s v="9763d562-0b63-4047-a1d5-9c413d56b194"/>
    <s v="Rejish Baby"/>
    <s v="This week"/>
    <s v="1908362/Z"/>
    <d v="2026-04-18T00:00:00"/>
    <m/>
    <m/>
    <m/>
    <s v="https://mhmpl.sangamcrm.com/tickets/9763d562-0b63-4047-a1d5-9c413d56b194"/>
    <s v="DR.BHAT'S NETHRAJYOTHI EYE HOSPITAL KANNUR REVO FC PMS "/>
  </r>
  <r>
    <n v="54717"/>
    <s v="In Process"/>
    <d v="2026-09-12T00:00:00"/>
    <s v="AHALIA FOUNDATION EYE HOSPITAL"/>
    <s v="Kannur"/>
    <s v="PTS 2000"/>
    <s v="7700269/T"/>
    <s v="Service"/>
    <x v="8"/>
    <s v="8838c18e-70c0-4cb7-a632-3a083b25048c"/>
    <s v="Rejish Baby"/>
    <s v="Overdue"/>
    <s v="7700269/T"/>
    <d v="2026-08-06T00:00:00"/>
    <d v="2026-04-04T00:00:00"/>
    <d v="2025-09-03T00:00:00"/>
    <d v="2025-02-13T00:00:00"/>
    <s v="https://mhmpl.sangamcrm.com/tickets/8838c18e-70c0-4cb7-a632-3a083b25048c"/>
    <s v="AHALIA FOUNDATION EYE HOSPITAL Kannur PTS 2000 Service "/>
  </r>
  <r>
    <n v="55925"/>
    <s v="In Process"/>
    <d v="2026-10-05T00:00:00"/>
    <s v="AL SALAMA EYE HOSPITAL"/>
    <s v="KANNUR"/>
    <s v="MODI 2"/>
    <s v="14063366"/>
    <s v="Service"/>
    <x v="8"/>
    <s v="092c3413-399a-4e69-a612-748522e63ce9"/>
    <s v="Rejish Baby"/>
    <s v="Overdue"/>
    <s v="14063366"/>
    <m/>
    <m/>
    <m/>
    <m/>
    <s v="https://mhmpl.sangamcrm.com/tickets/092c3413-399a-4e69-a612-748522e63ce9"/>
    <s v="AL SALAMA EYE HOSPITAL KANNUR MODI 2 Service "/>
  </r>
  <r>
    <n v="51259"/>
    <s v="Assigned"/>
    <d v="2026-11-30T00:00:00"/>
    <s v="Meenakshi eye care"/>
    <s v="Karaikal"/>
    <s v="REVO FC"/>
    <s v="1906005/X"/>
    <s v="PMS"/>
    <x v="12"/>
    <s v="d690a056-b7eb-419a-bf97-ce64aadce674"/>
    <s v="Manivannan D"/>
    <s v="Next 30 days"/>
    <s v="1906005/X"/>
    <d v="2026-05-20T00:00:00"/>
    <d v="2025-11-22T00:00:00"/>
    <d v="2025-05-08T00:00:00"/>
    <d v="2024-11-08T00:00:00"/>
    <s v="https://mhmpl.sangamcrm.com/tickets/d690a056-b7eb-419a-bf97-ce64aadce674"/>
    <s v="Meenakshi eye care Karaikal REVO FC PMS "/>
  </r>
  <r>
    <n v="52650"/>
    <s v="Assigned"/>
    <d v="2026-11-30T00:00:00"/>
    <s v="Lily Eye Institute(A unit of Clarividus OPC Private Limited)"/>
    <s v="Karunagapally"/>
    <s v="DGH 6000"/>
    <s v="1497"/>
    <s v="PMS"/>
    <x v="0"/>
    <s v="fd3e2912-a8fa-4cca-8392-e7e15177e930"/>
    <s v="Rejish Baby"/>
    <s v="Next 30 days"/>
    <s v="1497"/>
    <m/>
    <m/>
    <m/>
    <m/>
    <s v="https://mhmpl.sangamcrm.com/tickets/fd3e2912-a8fa-4cca-8392-e7e15177e930"/>
    <s v="Lily Eye Institute(A unit of Clarividus OPC Private Limited) Karunagapally DGH 6000 PMS "/>
  </r>
  <r>
    <n v="52648"/>
    <s v="Assigned"/>
    <d v="2026-11-30T00:00:00"/>
    <s v="Lily Eye Institute(A unit of Clarividus OPC Private Limited)"/>
    <s v="Karunagapally"/>
    <s v="PTS 2000"/>
    <s v="7702340/A"/>
    <s v="PMS"/>
    <x v="0"/>
    <s v="e327839b-1cb8-4733-a93d-c0e88ecff7f5"/>
    <s v="Rejish Baby"/>
    <s v="Next 30 days"/>
    <s v="7702340/A"/>
    <m/>
    <m/>
    <m/>
    <m/>
    <s v="https://mhmpl.sangamcrm.com/tickets/e327839b-1cb8-4733-a93d-c0e88ecff7f5"/>
    <s v="Lily Eye Institute(A unit of Clarividus OPC Private Limited) Karunagapally PTS 2000 PMS "/>
  </r>
  <r>
    <n v="43930"/>
    <s v="Assigned"/>
    <d v="2026-11-30T00:00:00"/>
    <s v="SOMASUNDARAM EYE HOSPITAL"/>
    <s v="Karur"/>
    <s v="EX500"/>
    <s v="1016-4-3809"/>
    <s v="PMS"/>
    <x v="14"/>
    <s v="f03bdc16-56d6-4f6b-9885-7118fb4eb6e1"/>
    <s v="Jinson P J"/>
    <s v="Next 30 days"/>
    <s v="1016-4-3809"/>
    <d v="2026-05-27T00:00:00"/>
    <m/>
    <m/>
    <m/>
    <s v="https://mhmpl.sangamcrm.com/tickets/f03bdc16-56d6-4f6b-9885-7118fb4eb6e1"/>
    <s v="SOMASUNDARAM EYE HOSPITAL Karur EX500 PMS "/>
  </r>
  <r>
    <n v="48245"/>
    <s v="Assigned"/>
    <d v="2026-10-31T00:00:00"/>
    <s v="DIRECTORATE OF HEALTH SERVICES(LAKSHADWEEP)"/>
    <s v="KAVARATTI"/>
    <s v="Pachette 4"/>
    <s v="1661"/>
    <s v="PMS"/>
    <x v="0"/>
    <s v="998d0288-5420-4dad-ba9e-5ca029dd0f3a"/>
    <s v="Rejish Baby"/>
    <s v="This week"/>
    <s v="1661"/>
    <d v="2026-02-20T00:00:00"/>
    <m/>
    <m/>
    <m/>
    <s v="https://mhmpl.sangamcrm.com/tickets/998d0288-5420-4dad-ba9e-5ca029dd0f3a"/>
    <s v="DIRECTORATE OF HEALTH SERVICES(LAKSHADWEEP) KAVARATTI Pachette 4 PMS "/>
  </r>
  <r>
    <n v="37525"/>
    <s v="Assigned"/>
    <d v="2026-10-31T00:00:00"/>
    <s v="DIRECTORATE OF HEALTH SERVICES(LAKSHADWEEP)"/>
    <s v="KAVARATTI"/>
    <s v="Pachette 4"/>
    <s v="1661"/>
    <s v="PMS"/>
    <x v="2"/>
    <s v="18b9f91c-9b93-489f-8de1-f557bff25e47"/>
    <s v="Rejish Baby"/>
    <s v="This week"/>
    <s v="1661"/>
    <d v="2026-02-20T00:00:00"/>
    <m/>
    <m/>
    <m/>
    <s v="https://mhmpl.sangamcrm.com/tickets/18b9f91c-9b93-489f-8de1-f557bff25e47"/>
    <s v="DIRECTORATE OF HEALTH SERVICES(LAKSHADWEEP) KAVARATTI Pachette 4 PMS "/>
  </r>
  <r>
    <n v="44181"/>
    <s v="Assigned"/>
    <d v="2026-11-30T00:00:00"/>
    <s v="CHAITHANYA EYE HOSPITAL &amp; RESEARCH CENTRE"/>
    <s v="Kayamkulam"/>
    <s v="HS-2522BL"/>
    <s v="OD070044"/>
    <s v="PMS"/>
    <x v="0"/>
    <s v="380b6004-f21f-426b-beb8-0d2dd9de353e"/>
    <s v="Rejish Baby"/>
    <s v="Next 30 days"/>
    <s v="OD070044"/>
    <d v="2026-07-28T00:00:00"/>
    <m/>
    <m/>
    <m/>
    <s v="https://mhmpl.sangamcrm.com/tickets/380b6004-f21f-426b-beb8-0d2dd9de353e"/>
    <s v="CHAITHANYA EYE HOSPITAL &amp; RESEARCH CENTRE Kayamkulam HS-2522BL PMS "/>
  </r>
  <r>
    <n v="40861"/>
    <s v="Assigned"/>
    <d v="2026-10-31T00:00:00"/>
    <s v="DR AGARWALS EYE HOSPITAL"/>
    <s v="Kochi"/>
    <s v="EVOLUTION 3E"/>
    <s v="9808"/>
    <s v="PMS"/>
    <x v="2"/>
    <s v="de6d1893-623b-4fc0-b861-ee8b43550a5b"/>
    <s v="Rejish Baby"/>
    <s v="This week"/>
    <s v="9808"/>
    <d v="2026-03-20T00:00:00"/>
    <d v="2025-10-08T00:00:00"/>
    <d v="2025-03-01T00:00:00"/>
    <d v="2024-08-17T00:00:00"/>
    <s v="https://mhmpl.sangamcrm.com/tickets/de6d1893-623b-4fc0-b861-ee8b43550a5b"/>
    <s v="DR AGARWALS EYE HOSPITAL Kochi EVOLUTION 3E PMS "/>
  </r>
  <r>
    <n v="46014"/>
    <s v="Escalated to Parent Company"/>
    <d v="2026-02-23T00:00:00"/>
    <s v="AHALIA FOUNDATION EYE HOSPITAL"/>
    <s v="KOCHI"/>
    <s v="SIRIUS+"/>
    <s v="21031057"/>
    <s v="Service"/>
    <x v="0"/>
    <s v="6a890d35-d1f4-4539-bb39-d2888b1cb006"/>
    <s v="Rejish Baby"/>
    <s v="Overdue"/>
    <s v="21031057"/>
    <d v="2026-07-29T00:00:00"/>
    <d v="2025-11-29T00:00:00"/>
    <d v="2025-05-03T00:00:00"/>
    <d v="2024-06-24T00:00:00"/>
    <s v="https://mhmpl.sangamcrm.com/tickets/6a890d35-d1f4-4539-bb39-d2888b1cb006"/>
    <s v="AHALIA FOUNDATION EYE HOSPITAL KOCHI SIRIUS+ Service "/>
  </r>
  <r>
    <n v="51560"/>
    <s v="Assigned"/>
    <d v="2026-10-31T00:00:00"/>
    <s v="INHS Sanjeevani"/>
    <s v="KOCHI"/>
    <s v="SIRIUS+"/>
    <s v="21041080"/>
    <s v="PMS"/>
    <x v="0"/>
    <s v="fe0f2f27-7bee-40f9-a1db-1fecbd71f552"/>
    <s v="Rejish Baby"/>
    <s v="This week"/>
    <s v="21041080"/>
    <d v="2026-09-07T00:00:00"/>
    <d v="2026-06-15T00:00:00"/>
    <d v="2026-03-13T00:00:00"/>
    <d v="2025-11-21T00:00:00"/>
    <s v="https://mhmpl.sangamcrm.com/tickets/fe0f2f27-7bee-40f9-a1db-1fecbd71f552"/>
    <s v="INHS Sanjeevani KOCHI SIRIUS+ PMS "/>
  </r>
  <r>
    <n v="45057"/>
    <s v="Assigned"/>
    <d v="2026-11-30T00:00:00"/>
    <s v="NEDUMCHALIL EYE HOSPITAL"/>
    <s v="KOCHI"/>
    <s v="OA-2000"/>
    <s v="9001"/>
    <s v="PMS"/>
    <x v="0"/>
    <s v="0f35be20-24e8-4fb3-bb42-cc21df3ddb1d"/>
    <s v="Rejish Baby"/>
    <s v="Next 30 days"/>
    <s v="9001"/>
    <d v="2026-07-25T00:00:00"/>
    <d v="2024-08-23T00:00:00"/>
    <d v="2023-12-23T00:00:00"/>
    <d v="2023-06-26T00:00:00"/>
    <s v="https://mhmpl.sangamcrm.com/tickets/0f35be20-24e8-4fb3-bb42-cc21df3ddb1d"/>
    <s v="NEDUMCHALIL EYE HOSPITAL KOCHI OA-2000 PMS "/>
  </r>
  <r>
    <n v="52254"/>
    <s v="Assigned"/>
    <d v="2026-11-30T00:00:00"/>
    <s v="THE EYE FOUNDATION"/>
    <s v="KOCHI"/>
    <s v="EX500"/>
    <s v="1016-2-1165"/>
    <s v="PMS"/>
    <x v="2"/>
    <s v="6d95396b-1bfe-4ae3-b1ba-d27bdaacf032"/>
    <s v="Rejish Baby"/>
    <s v="Next 30 days"/>
    <s v="1016-2-1165"/>
    <d v="2026-05-18T00:00:00"/>
    <d v="2025-12-20T00:00:00"/>
    <d v="2025-05-28T00:00:00"/>
    <d v="2024-11-13T00:00:00"/>
    <s v="https://mhmpl.sangamcrm.com/tickets/6d95396b-1bfe-4ae3-b1ba-d27bdaacf032"/>
    <s v="THE EYE FOUNDATION KOCHI EX500 PMS "/>
  </r>
  <r>
    <n v="52255"/>
    <s v="Scheduled"/>
    <d v="2026-10-07T00:00:00"/>
    <s v="THE EYE FOUNDATION"/>
    <s v="KOCHI"/>
    <s v="EX500"/>
    <s v="1016-2-1165"/>
    <s v="PMS"/>
    <x v="2"/>
    <s v="331c1d0e-e04a-45f3-8593-95a4e6adf4dd"/>
    <s v="Rejish Baby"/>
    <s v="Overdue"/>
    <s v="1016-2-1165"/>
    <d v="2026-05-18T00:00:00"/>
    <d v="2025-12-20T00:00:00"/>
    <d v="2025-05-28T00:00:00"/>
    <d v="2024-11-13T00:00:00"/>
    <s v="https://mhmpl.sangamcrm.com/tickets/331c1d0e-e04a-45f3-8593-95a4e6adf4dd"/>
    <s v="THE EYE FOUNDATION KOCHI EX500 PMS "/>
  </r>
  <r>
    <n v="42155"/>
    <s v="Assigned"/>
    <d v="2026-10-31T00:00:00"/>
    <s v="SREEDHARREEYAM AYURVEDIC EYE HOSPITAL &amp; RESEARCH CENTRE"/>
    <s v="KOCHI"/>
    <s v="PTS 1000"/>
    <s v="963/P"/>
    <s v="PMS"/>
    <x v="0"/>
    <s v="379a18a8-95c8-4210-989b-c3dafc8565a4"/>
    <s v="Rejish Baby"/>
    <s v="This week"/>
    <s v="963/P"/>
    <d v="2026-03-25T00:00:00"/>
    <d v="2025-10-20T00:00:00"/>
    <d v="2025-03-28T00:00:00"/>
    <d v="2024-09-18T00:00:00"/>
    <s v="https://mhmpl.sangamcrm.com/tickets/379a18a8-95c8-4210-989b-c3dafc8565a4"/>
    <s v="SREEDHARREEYAM AYURVEDIC EYE HOSPITAL &amp; RESEARCH CENTRE KOCHI PTS 1000 PMS "/>
  </r>
  <r>
    <n v="51179"/>
    <s v="Assigned"/>
    <d v="2026-11-30T00:00:00"/>
    <s v="ROSHAN EYE CARE HOSPITAL"/>
    <s v="KOCHI"/>
    <s v="SIRIUS"/>
    <s v="14052005"/>
    <s v="PMS"/>
    <x v="0"/>
    <s v="6086bd4e-3ed0-4be5-806e-4d31f1a04c60"/>
    <s v="Rejish Baby"/>
    <s v="Next 30 days"/>
    <s v="14052005"/>
    <d v="2026-05-08T00:00:00"/>
    <d v="2025-10-14T00:00:00"/>
    <d v="2025-05-23T00:00:00"/>
    <d v="2024-10-09T00:00:00"/>
    <s v="https://mhmpl.sangamcrm.com/tickets/6086bd4e-3ed0-4be5-806e-4d31f1a04c60"/>
    <s v="ROSHAN EYE CARE HOSPITAL KOCHI SIRIUS PMS "/>
  </r>
  <r>
    <n v="51177"/>
    <s v="Assigned"/>
    <d v="2026-11-30T00:00:00"/>
    <s v="ROSHAN EYE CARE HOSPITAL"/>
    <s v="KOCHI"/>
    <s v="HS-60VD"/>
    <s v="MM04012"/>
    <s v="PMS"/>
    <x v="0"/>
    <s v="3bfe638f-83da-4b2b-8085-6f7dd3a571b0"/>
    <s v="Rejish Baby"/>
    <s v="Next 30 days"/>
    <s v="MM04012"/>
    <d v="2026-05-08T00:00:00"/>
    <d v="2025-10-13T00:00:00"/>
    <d v="2025-05-23T00:00:00"/>
    <d v="2024-10-09T00:00:00"/>
    <s v="https://mhmpl.sangamcrm.com/tickets/3bfe638f-83da-4b2b-8085-6f7dd3a571b0"/>
    <s v="ROSHAN EYE CARE HOSPITAL KOCHI HS-60VD PMS "/>
  </r>
  <r>
    <n v="50166"/>
    <s v="Assigned"/>
    <d v="2026-11-30T00:00:00"/>
    <s v="AHALIA FOUNDATION EYE HOSPITAL - Kollam"/>
    <s v="KOLLAM"/>
    <s v="SIRIUS+"/>
    <s v="24122457"/>
    <s v="PMS"/>
    <x v="8"/>
    <s v="6cddbb10-42b9-408b-bde9-ed483d57a709"/>
    <s v="Rejish Baby"/>
    <s v="Next 30 days"/>
    <s v="24122457"/>
    <d v="2026-05-04T00:00:00"/>
    <d v="2025-11-06T00:00:00"/>
    <m/>
    <m/>
    <s v="https://mhmpl.sangamcrm.com/tickets/6cddbb10-42b9-408b-bde9-ed483d57a709"/>
    <s v="AHALIA FOUNDATION EYE HOSPITAL - Kollam KOLLAM SIRIUS+ PMS "/>
  </r>
  <r>
    <n v="56909"/>
    <s v="In Process"/>
    <d v="2026-10-26T00:00:00"/>
    <s v="TVJ EYE HOSPITAL"/>
    <s v="KOTHAMANGALAM"/>
    <s v="MR-6000"/>
    <s v="559309"/>
    <s v="Service"/>
    <x v="0"/>
    <s v="5686e7ae-6543-4ea3-b6bc-e66e390095ed"/>
    <s v="Rejish Baby"/>
    <s v="Overdue"/>
    <s v="559309"/>
    <m/>
    <m/>
    <m/>
    <m/>
    <s v="https://mhmpl.sangamcrm.com/tickets/5686e7ae-6543-4ea3-b6bc-e66e390095ed"/>
    <s v="TVJ EYE HOSPITAL KOTHAMANGALAM MR-6000 Service "/>
  </r>
  <r>
    <n v="51203"/>
    <s v="Assigned"/>
    <d v="2026-10-31T00:00:00"/>
    <s v="CARITAS HOSPITAL"/>
    <s v="Kottayam"/>
    <s v="Enbio PRO"/>
    <s v="ST02-CH-22-70681"/>
    <s v="PMS"/>
    <x v="0"/>
    <s v="477afd7b-ff12-43e2-946a-56e74f9856ec"/>
    <s v="Rejish Baby"/>
    <s v="This week"/>
    <s v="ST02-CH-22-70681"/>
    <d v="2026-06-10T00:00:00"/>
    <d v="2026-01-17T00:00:00"/>
    <d v="2025-05-31T00:00:00"/>
    <d v="2025-05-27T00:00:00"/>
    <s v="https://mhmpl.sangamcrm.com/tickets/477afd7b-ff12-43e2-946a-56e74f9856ec"/>
    <s v="CARITAS HOSPITAL Kottayam Enbio PRO PMS "/>
  </r>
  <r>
    <n v="51201"/>
    <s v="Assigned"/>
    <d v="2026-10-31T00:00:00"/>
    <s v="CARITAS HOSPITAL"/>
    <s v="Kottayam"/>
    <s v="Enbio PRO"/>
    <s v="ST02-CH-22-70546"/>
    <s v="PMS"/>
    <x v="0"/>
    <s v="813e819c-2236-4b28-b3c9-320a35923c9e"/>
    <s v="Rejish Baby"/>
    <s v="This week"/>
    <s v="ST02-CH-22-70546"/>
    <d v="2026-06-10T00:00:00"/>
    <d v="2026-01-17T00:00:00"/>
    <d v="2024-11-19T00:00:00"/>
    <d v="2024-06-15T00:00:00"/>
    <s v="https://mhmpl.sangamcrm.com/tickets/813e819c-2236-4b28-b3c9-320a35923c9e"/>
    <s v="CARITAS HOSPITAL Kottayam Enbio PRO PMS "/>
  </r>
  <r>
    <n v="46219"/>
    <s v="Assigned"/>
    <d v="2026-11-30T00:00:00"/>
    <s v="ALPHONSA EYE HOSPITAL"/>
    <s v="KOTTAYAM"/>
    <s v="EM-4000"/>
    <s v="93103"/>
    <s v="PMS"/>
    <x v="0"/>
    <s v="fc1f9a51-8a8d-4176-9806-008a591a6ca6"/>
    <s v="Rejish Baby"/>
    <s v="Next 30 days"/>
    <s v="93103"/>
    <d v="2026-07-22T00:00:00"/>
    <d v="2025-12-26T00:00:00"/>
    <d v="2025-07-03T00:00:00"/>
    <d v="2024-12-09T00:00:00"/>
    <s v="https://mhmpl.sangamcrm.com/tickets/fc1f9a51-8a8d-4176-9806-008a591a6ca6"/>
    <s v="ALPHONSA EYE HOSPITAL KOTTAYAM EM-4000 PMS "/>
  </r>
  <r>
    <n v="44442"/>
    <s v="Assigned"/>
    <d v="2026-11-30T00:00:00"/>
    <s v="SJ EYE HOSPITAL"/>
    <s v="KOTTAYAM"/>
    <s v="EM-4000"/>
    <s v="941903"/>
    <s v="PMS"/>
    <x v="0"/>
    <s v="5c126b89-42d3-426d-b2ea-71476d4a8101"/>
    <s v="Rejish Baby"/>
    <s v="Next 30 days"/>
    <s v="941903"/>
    <d v="2026-05-29T00:00:00"/>
    <d v="2025-12-26T00:00:00"/>
    <d v="2025-07-25T00:00:00"/>
    <d v="2024-12-03T00:00:00"/>
    <s v="https://mhmpl.sangamcrm.com/tickets/5c126b89-42d3-426d-b2ea-71476d4a8101"/>
    <s v="SJ EYE HOSPITAL KOTTAYAM EM-4000 PMS "/>
  </r>
  <r>
    <n v="44438"/>
    <s v="Assigned"/>
    <d v="2026-11-30T00:00:00"/>
    <s v="SJ EYE HOSPITAL"/>
    <s v="KOTTAYAM"/>
    <s v="OA-2000"/>
    <s v="888801"/>
    <s v="PMS"/>
    <x v="0"/>
    <s v="df03c133-781f-498b-b0d0-0f08a182350a"/>
    <s v="Rejish Baby"/>
    <s v="Next 30 days"/>
    <s v="888801"/>
    <d v="2026-05-29T00:00:00"/>
    <d v="2025-12-26T00:00:00"/>
    <d v="2025-07-25T00:00:00"/>
    <d v="2024-12-03T00:00:00"/>
    <s v="https://mhmpl.sangamcrm.com/tickets/df03c133-781f-498b-b0d0-0f08a182350a"/>
    <s v="SJ EYE HOSPITAL KOTTAYAM OA-2000 PMS "/>
  </r>
  <r>
    <n v="44440"/>
    <s v="Assigned"/>
    <d v="2026-11-30T00:00:00"/>
    <s v="SJ EYE HOSPITAL"/>
    <s v="KOTTAYAM"/>
    <s v="HS-2522BL"/>
    <s v="MS100075"/>
    <s v="PMS"/>
    <x v="0"/>
    <s v="32dbb9f9-9b3b-41ab-b4d4-024e27a64083"/>
    <s v="Rejish Baby"/>
    <s v="Next 30 days"/>
    <s v="MS100075"/>
    <d v="2026-05-29T00:00:00"/>
    <d v="2025-12-26T00:00:00"/>
    <d v="2025-07-25T00:00:00"/>
    <d v="2024-12-10T00:00:00"/>
    <s v="https://mhmpl.sangamcrm.com/tickets/32dbb9f9-9b3b-41ab-b4d4-024e27a64083"/>
    <s v="SJ EYE HOSPITAL KOTTAYAM HS-2522BL PMS "/>
  </r>
  <r>
    <n v="46215"/>
    <s v="Assigned"/>
    <d v="2026-11-30T00:00:00"/>
    <s v="ALPHONSA EYE HOSPITAL"/>
    <s v="KOTTAYAM"/>
    <s v="UV-X 1000"/>
    <s v="100020332"/>
    <s v="PMS"/>
    <x v="0"/>
    <s v="e0f46b86-9d52-4cce-b113-faf5c7a96a82"/>
    <s v="Rejish Baby"/>
    <s v="Next 30 days"/>
    <s v="100020332"/>
    <d v="2026-07-22T00:00:00"/>
    <d v="2025-12-26T00:00:00"/>
    <d v="2025-07-04T00:00:00"/>
    <d v="2024-12-09T00:00:00"/>
    <s v="https://mhmpl.sangamcrm.com/tickets/e0f46b86-9d52-4cce-b113-faf5c7a96a82"/>
    <s v="ALPHONSA EYE HOSPITAL KOTTAYAM UV-X 1000 PMS "/>
  </r>
  <r>
    <n v="46217"/>
    <s v="Assigned"/>
    <d v="2026-11-30T00:00:00"/>
    <s v="ALPHONSA EYE HOSPITAL"/>
    <s v="KOTTAYAM"/>
    <s v="TMS-4N"/>
    <s v="522112"/>
    <s v="PMS"/>
    <x v="0"/>
    <s v="918813fc-43a4-40e6-8a41-9c3054c822c1"/>
    <s v="Rejish Baby"/>
    <s v="Next 30 days"/>
    <s v="522112"/>
    <d v="2026-07-22T00:00:00"/>
    <d v="2025-12-26T00:00:00"/>
    <d v="2025-07-03T00:00:00"/>
    <d v="2024-12-09T00:00:00"/>
    <s v="https://mhmpl.sangamcrm.com/tickets/918813fc-43a4-40e6-8a41-9c3054c822c1"/>
    <s v="ALPHONSA EYE HOSPITAL KOTTAYAM TMS-4N PMS "/>
  </r>
  <r>
    <n v="43576"/>
    <s v="Assigned"/>
    <d v="2026-10-31T00:00:00"/>
    <s v="COMTRUST CHARITABLE TRUST EYE HOSPITAL"/>
    <s v="KOZHIKODE"/>
    <s v="REVO FC"/>
    <s v="1908388/Z"/>
    <s v="PMS"/>
    <x v="8"/>
    <s v="e0af8350-8453-47e9-8717-7d7b08976bd5"/>
    <s v="Rejish Baby"/>
    <s v="This week"/>
    <s v="1908388/Z"/>
    <d v="2026-06-05T00:00:00"/>
    <m/>
    <m/>
    <m/>
    <s v="https://mhmpl.sangamcrm.com/tickets/e0af8350-8453-47e9-8717-7d7b08976bd5"/>
    <s v="COMTRUST CHARITABLE TRUST EYE HOSPITAL KOZHIKODE REVO FC PMS "/>
  </r>
  <r>
    <n v="51896"/>
    <s v="Assigned"/>
    <d v="2026-11-30T00:00:00"/>
    <s v="DR ARVIND VISION CARE, Kumbakonam"/>
    <s v="KUMBAKONAM"/>
    <s v="REVO FC"/>
    <s v="1908989/A"/>
    <s v="PMS"/>
    <x v="9"/>
    <s v="c1156b94-43c5-465d-8629-49c6d3d48b42"/>
    <s v="Manivannan D"/>
    <s v="Next 30 days"/>
    <s v="1908989/A"/>
    <m/>
    <m/>
    <m/>
    <m/>
    <s v="https://mhmpl.sangamcrm.com/tickets/c1156b94-43c5-465d-8629-49c6d3d48b42"/>
    <s v="DR ARVIND VISION CARE, Kumbakonam KUMBAKONAM REVO FC PMS "/>
  </r>
  <r>
    <n v="42644"/>
    <s v="Assigned"/>
    <d v="2026-10-31T00:00:00"/>
    <s v="DR ARVIND VISION CARE, Kumbakonam"/>
    <s v="KUMBAKONAM"/>
    <s v="OA-2000"/>
    <s v="510A69032"/>
    <s v="PMS"/>
    <x v="12"/>
    <s v="c58c4f26-d3fd-491f-986a-04316ddd7ebc"/>
    <s v="Manivannan D"/>
    <s v="This week"/>
    <s v="510A69032"/>
    <d v="2026-05-29T00:00:00"/>
    <d v="2025-10-16T00:00:00"/>
    <d v="2025-04-18T00:00:00"/>
    <d v="2024-12-03T00:00:00"/>
    <s v="https://mhmpl.sangamcrm.com/tickets/c58c4f26-d3fd-491f-986a-04316ddd7ebc"/>
    <s v="DR ARVIND VISION CARE, Kumbakonam KUMBAKONAM OA-2000 PMS "/>
  </r>
  <r>
    <n v="46326"/>
    <s v="Assigned"/>
    <d v="2026-11-30T00:00:00"/>
    <s v="SHREE KAMALA NETRALAYA"/>
    <s v="KUMBAKONAM"/>
    <s v="HS-60VD"/>
    <s v="MR11056"/>
    <s v="PMS"/>
    <x v="11"/>
    <s v="70b36681-d9a8-4875-a9d0-15f6a177ec76"/>
    <s v="Manivannan D"/>
    <s v="Next 30 days"/>
    <s v="MR11056"/>
    <d v="2026-07-17T00:00:00"/>
    <d v="2026-01-08T00:00:00"/>
    <d v="2025-08-02T00:00:00"/>
    <m/>
    <s v="https://mhmpl.sangamcrm.com/tickets/70b36681-d9a8-4875-a9d0-15f6a177ec76"/>
    <s v="SHREE KAMALA NETRALAYA KUMBAKONAM HS-60VD PMS "/>
  </r>
  <r>
    <n v="42648"/>
    <s v="Assigned"/>
    <d v="2026-10-31T00:00:00"/>
    <s v="AARYA EYE CARE HOSPITAL"/>
    <s v="Kunnamkulam"/>
    <s v="OA-2000"/>
    <s v="006B95042"/>
    <s v="PMS"/>
    <x v="0"/>
    <s v="c7a640f4-1acc-45cc-9f31-a9738f9d2040"/>
    <s v="Rejish Baby"/>
    <s v="This week"/>
    <s v="006B95042"/>
    <d v="2026-04-04T00:00:00"/>
    <d v="2025-10-09T00:00:00"/>
    <d v="2025-04-28T00:00:00"/>
    <m/>
    <s v="https://mhmpl.sangamcrm.com/tickets/c7a640f4-1acc-45cc-9f31-a9738f9d2040"/>
    <s v="AARYA EYE CARE HOSPITAL Kunnamkulam OA-2000 PMS "/>
  </r>
  <r>
    <n v="42650"/>
    <s v="Assigned"/>
    <d v="2026-10-31T00:00:00"/>
    <s v="AARYA EYE CARE HOSPITAL"/>
    <s v="Kunnamkulam"/>
    <s v="REVO FC"/>
    <s v="1906979/Y"/>
    <s v="PMS"/>
    <x v="0"/>
    <s v="25c0403f-def7-4e0e-b18a-2de2e8244ef5"/>
    <s v="Rejish Baby"/>
    <s v="This week"/>
    <s v="1906979/Y"/>
    <d v="2026-04-04T00:00:00"/>
    <d v="2025-10-09T00:00:00"/>
    <d v="2025-04-28T00:00:00"/>
    <m/>
    <s v="https://mhmpl.sangamcrm.com/tickets/25c0403f-def7-4e0e-b18a-2de2e8244ef5"/>
    <s v="AARYA EYE CARE HOSPITAL Kunnamkulam REVO FC PMS "/>
  </r>
  <r>
    <n v="42652"/>
    <s v="Assigned"/>
    <d v="2026-10-31T00:00:00"/>
    <s v="AARYA EYE CARE HOSPITAL"/>
    <s v="Kunnamkulam"/>
    <s v="SIRIUS+"/>
    <s v="23101971"/>
    <s v="PMS"/>
    <x v="0"/>
    <s v="798209ce-1429-4a80-a921-9210eb9cd078"/>
    <s v="Rejish Baby"/>
    <s v="This week"/>
    <s v="23101971"/>
    <d v="2026-04-04T00:00:00"/>
    <d v="2025-10-09T00:00:00"/>
    <d v="2025-04-28T00:00:00"/>
    <m/>
    <s v="https://mhmpl.sangamcrm.com/tickets/798209ce-1429-4a80-a921-9210eb9cd078"/>
    <s v="AARYA EYE CARE HOSPITAL Kunnamkulam SIRIUS+ PMS "/>
  </r>
  <r>
    <n v="42646"/>
    <s v="Assigned"/>
    <d v="2026-10-31T00:00:00"/>
    <s v="AARYA EYE CARE HOSPITAL"/>
    <s v="Kunnamkulam"/>
    <s v="PTS 2000"/>
    <s v="7701555/Y"/>
    <s v="PMS"/>
    <x v="0"/>
    <s v="c1dbc580-4873-42f9-b151-5a20faf8e5c4"/>
    <s v="Rejish Baby"/>
    <s v="This week"/>
    <s v="7701555/Y"/>
    <d v="2026-04-04T00:00:00"/>
    <d v="2025-10-09T00:00:00"/>
    <d v="2025-04-28T00:00:00"/>
    <m/>
    <s v="https://mhmpl.sangamcrm.com/tickets/c1dbc580-4873-42f9-b151-5a20faf8e5c4"/>
    <s v="AARYA EYE CARE HOSPITAL Kunnamkulam PTS 2000 PMS "/>
  </r>
  <r>
    <n v="51530"/>
    <s v="Assigned"/>
    <d v="2026-11-30T00:00:00"/>
    <s v="SREE NARAYANA INSTITUTE OF MEDICAL SCIENCE"/>
    <s v="Kunnukara"/>
    <s v="REVO FC"/>
    <s v="1906752/Y"/>
    <s v="PMS"/>
    <x v="8"/>
    <s v="10e0b446-b1ed-4668-a180-9dfc97e147c2"/>
    <s v="Rejish Baby"/>
    <s v="Next 30 days"/>
    <s v="1906752/Y"/>
    <d v="2026-04-22T00:00:00"/>
    <d v="2025-12-02T00:00:00"/>
    <m/>
    <m/>
    <s v="https://mhmpl.sangamcrm.com/tickets/10e0b446-b1ed-4668-a180-9dfc97e147c2"/>
    <s v="SREE NARAYANA INSTITUTE OF MEDICAL SCIENCE Kunnukara REVO FC PMS "/>
  </r>
  <r>
    <n v="54585"/>
    <s v="Ready to Review &amp; Close"/>
    <d v="2026-09-04T00:00:00"/>
    <s v="Baba Eye Hospital"/>
    <s v="Kurnool"/>
    <s v="DGH 6000"/>
    <s v="1581"/>
    <s v="Installation"/>
    <x v="19"/>
    <s v="f349a511-e408-483f-8eca-5ad836a19832"/>
    <s v="Bibin Vijayan"/>
    <s v="Overdue"/>
    <s v="1581"/>
    <m/>
    <m/>
    <m/>
    <m/>
    <s v="https://mhmpl.sangamcrm.com/tickets/f349a511-e408-483f-8eca-5ad836a19832"/>
    <s v="Baba Eye Hospital Kurnool DGH 6000 Installation "/>
  </r>
  <r>
    <n v="43010"/>
    <s v="Scheduled"/>
    <d v="2026-10-29T00:00:00"/>
    <s v="LVPEI NEELAKANTAPURAM"/>
    <s v="Madakasira, Sri Satya Sai District"/>
    <s v="PTS 2000"/>
    <s v="7700821/w"/>
    <s v="PMS"/>
    <x v="10"/>
    <s v="dba55f73-2401-4dbd-b1d6-51ce8aaffbb7"/>
    <s v="Motty C Das"/>
    <s v="Overdue"/>
    <s v="7700821/w"/>
    <d v="2026-06-05T00:00:00"/>
    <d v="2026-04-11T00:00:00"/>
    <m/>
    <m/>
    <s v="https://mhmpl.sangamcrm.com/tickets/dba55f73-2401-4dbd-b1d6-51ce8aaffbb7"/>
    <s v="LVPEI NEELAKANTAPURAM Madakasira, Sri Satya Sai District PTS 2000 PMS "/>
  </r>
  <r>
    <n v="51649"/>
    <s v="Assigned"/>
    <d v="2026-11-30T00:00:00"/>
    <s v="Iksha eye hospital madikeri"/>
    <s v="Madikeri"/>
    <s v="SIRIUS+"/>
    <s v="26043019"/>
    <s v="PMS"/>
    <x v="6"/>
    <s v="ec7fa336-1b67-460b-9f05-3785280fa87b"/>
    <s v="Manu Mohan"/>
    <s v="Next 30 days"/>
    <s v="26043019"/>
    <m/>
    <m/>
    <m/>
    <m/>
    <s v="https://mhmpl.sangamcrm.com/tickets/ec7fa336-1b67-460b-9f05-3785280fa87b"/>
    <s v="Iksha eye hospital madikeri Madikeri SIRIUS+ PMS "/>
  </r>
  <r>
    <n v="57105"/>
    <s v="In Process"/>
    <d v="2026-10-31T00:00:00"/>
    <s v="Smitha Eye Care Center"/>
    <s v="Madikeri"/>
    <s v="REVO FC"/>
    <s v="1906448/X"/>
    <s v="Service"/>
    <x v="7"/>
    <s v="639b059b-7ace-4ba8-8d6f-89dce1ae373f"/>
    <s v="Manu Mohan"/>
    <s v="This week"/>
    <s v="1906448/X"/>
    <d v="2026-05-13T00:00:00"/>
    <d v="2025-12-03T00:00:00"/>
    <d v="2025-01-06T00:00:00"/>
    <d v="2024-07-01T00:00:00"/>
    <s v="https://mhmpl.sangamcrm.com/tickets/639b059b-7ace-4ba8-8d6f-89dce1ae373f"/>
    <s v="Smitha Eye Care Center Madikeri REVO FC Service "/>
  </r>
  <r>
    <n v="48195"/>
    <s v="Assigned"/>
    <d v="2026-11-30T00:00:00"/>
    <s v="ARAVIND EYE HOSPITAL"/>
    <s v="MADURAI"/>
    <s v="UD-800"/>
    <s v="831805"/>
    <s v="PMS"/>
    <x v="3"/>
    <s v="a4a26f0e-b7f2-4b02-9013-b4c1a04383e1"/>
    <s v="Jinson P J"/>
    <s v="Next 30 days"/>
    <s v="831805"/>
    <d v="2026-05-14T00:00:00"/>
    <d v="2025-07-16T00:00:00"/>
    <d v="2025-01-30T00:00:00"/>
    <d v="2024-12-04T00:00:00"/>
    <s v="https://mhmpl.sangamcrm.com/tickets/a4a26f0e-b7f2-4b02-9013-b4c1a04383e1"/>
    <s v="ARAVIND EYE HOSPITAL MADURAI UD-800 PMS "/>
  </r>
  <r>
    <n v="48189"/>
    <s v="Assigned"/>
    <d v="2026-11-30T00:00:00"/>
    <s v="ARAVIND EYE HOSPITAL"/>
    <s v="MADURAI"/>
    <s v="SL9900 ELITE"/>
    <s v="18060117"/>
    <s v="PMS"/>
    <x v="3"/>
    <s v="ac8610ff-f0a0-4f67-89e1-e1eae50b0ec2"/>
    <s v="Jinson P J"/>
    <s v="Next 30 days"/>
    <s v="18060117"/>
    <d v="2026-05-14T00:00:00"/>
    <d v="2024-06-24T00:00:00"/>
    <d v="2023-11-25T00:00:00"/>
    <d v="2023-08-03T00:00:00"/>
    <s v="https://mhmpl.sangamcrm.com/tickets/ac8610ff-f0a0-4f67-89e1-e1eae50b0ec2"/>
    <s v="ARAVIND EYE HOSPITAL MADURAI SL9900 ELITE PMS "/>
  </r>
  <r>
    <n v="48124"/>
    <s v="Assigned"/>
    <d v="2026-11-30T00:00:00"/>
    <s v="ARAVIND EYE HOSPITAL"/>
    <s v="MADURAI"/>
    <s v="HS-1321"/>
    <s v="ZA03032"/>
    <s v="PMS"/>
    <x v="3"/>
    <s v="5b60344d-7d7e-47cc-b7b4-686be5491b7e"/>
    <s v="Jinson P J"/>
    <s v="Next 30 days"/>
    <s v="ZA03032"/>
    <d v="2026-05-14T00:00:00"/>
    <d v="2025-07-16T00:00:00"/>
    <d v="2025-01-31T00:00:00"/>
    <d v="2023-11-25T00:00:00"/>
    <s v="https://mhmpl.sangamcrm.com/tickets/5b60344d-7d7e-47cc-b7b4-686be5491b7e"/>
    <s v="ARAVIND EYE HOSPITAL MADURAI HS-1321 PMS "/>
  </r>
  <r>
    <n v="49286"/>
    <s v="Assigned"/>
    <d v="2026-11-30T00:00:00"/>
    <s v="ARAVIND EYE HOSPITAL"/>
    <s v="MADURAI"/>
    <s v="EVOLUTION 3"/>
    <s v="5652"/>
    <s v="PMS"/>
    <x v="14"/>
    <s v="a9947071-28e0-4b2b-854e-831c2892d8da"/>
    <s v="Jinson P J"/>
    <s v="Next 30 days"/>
    <s v="5652"/>
    <d v="2026-06-23T00:00:00"/>
    <d v="2025-12-06T00:00:00"/>
    <d v="2025-07-16T00:00:00"/>
    <d v="2024-12-04T00:00:00"/>
    <s v="https://mhmpl.sangamcrm.com/tickets/a9947071-28e0-4b2b-854e-831c2892d8da"/>
    <s v="ARAVIND EYE HOSPITAL MADURAI EVOLUTION 3 PMS "/>
  </r>
  <r>
    <n v="45657"/>
    <s v="Assigned"/>
    <d v="2026-11-30T00:00:00"/>
    <s v="Agarwal Eye Hospital(Mahaboob Nagar)"/>
    <s v="Mahabubnagar"/>
    <s v="TMS-4N"/>
    <s v="567706"/>
    <s v="PMS"/>
    <x v="18"/>
    <s v="abbf8ae3-9308-45d3-863c-68cefa712a9f"/>
    <s v="Bibin Vijayan"/>
    <s v="Next 30 days"/>
    <s v="567706"/>
    <d v="2026-07-10T00:00:00"/>
    <m/>
    <m/>
    <m/>
    <s v="https://mhmpl.sangamcrm.com/tickets/abbf8ae3-9308-45d3-863c-68cefa712a9f"/>
    <s v="Agarwal Eye Hospital(Mahaboob Nagar) Mahabubnagar TMS-4N PMS "/>
  </r>
  <r>
    <n v="53673"/>
    <s v="Assigned"/>
    <d v="2026-11-30T00:00:00"/>
    <s v="Kottakkal Eye Care Llp"/>
    <s v="Malappuram"/>
    <s v="REVO FC"/>
    <s v="1908981/A"/>
    <s v="PMS"/>
    <x v="2"/>
    <s v="2fe9dfdd-8292-4763-8cac-f513e5743417"/>
    <s v="Rejish Baby"/>
    <s v="Next 30 days"/>
    <s v="1908981/A"/>
    <m/>
    <m/>
    <m/>
    <m/>
    <s v="https://mhmpl.sangamcrm.com/tickets/2fe9dfdd-8292-4763-8cac-f513e5743417"/>
    <s v="Kottakkal Eye Care Llp Malappuram REVO FC PMS "/>
  </r>
  <r>
    <n v="55827"/>
    <s v="Under Observation"/>
    <d v="2026-10-03T00:00:00"/>
    <s v="Ahalia Foundation Eye Hospital Kottakkal"/>
    <s v="Malappuram"/>
    <s v="PTS 2000"/>
    <s v="7702415/A"/>
    <s v="Service"/>
    <x v="8"/>
    <s v="721334cc-1598-41e5-add4-38f60bb921ff"/>
    <s v="Rejish Baby"/>
    <s v="Overdue"/>
    <m/>
    <m/>
    <m/>
    <m/>
    <m/>
    <s v="https://mhmpl.sangamcrm.com/tickets/721334cc-1598-41e5-add4-38f60bb921ff"/>
    <s v="Ahalia Foundation Eye Hospital Kottakkal Malappuram PTS 2000 Service "/>
  </r>
  <r>
    <n v="51651"/>
    <s v="Assigned"/>
    <d v="2026-11-30T00:00:00"/>
    <s v="Adichunchanagiri Hospital &amp; Research Centre"/>
    <s v="Mandya"/>
    <s v="SIRIUS+"/>
    <s v="26043021"/>
    <s v="PMS"/>
    <x v="6"/>
    <s v="4254d2ff-76ca-42f4-a0c7-d042725fa9a7"/>
    <s v="Manu Mohan"/>
    <s v="Next 30 days"/>
    <s v="26043021"/>
    <m/>
    <m/>
    <m/>
    <m/>
    <s v="https://mhmpl.sangamcrm.com/tickets/4254d2ff-76ca-42f4-a0c7-d042725fa9a7"/>
    <s v="Adichunchanagiri Hospital &amp; Research Centre Mandya SIRIUS+ PMS "/>
  </r>
  <r>
    <n v="51652"/>
    <s v="Assigned"/>
    <d v="2026-11-30T00:00:00"/>
    <s v="Adichunchanagiri Hospital &amp; Research Centre"/>
    <s v="Mandya"/>
    <s v="SIRIUS+"/>
    <s v="26043021"/>
    <s v="PMS"/>
    <x v="6"/>
    <s v="8ee3ebbe-81cc-439f-8f2b-427846f64494"/>
    <s v="Manu Mohan"/>
    <s v="Next 30 days"/>
    <s v="26043021"/>
    <m/>
    <m/>
    <m/>
    <m/>
    <s v="https://mhmpl.sangamcrm.com/tickets/8ee3ebbe-81cc-439f-8f2b-427846f64494"/>
    <s v="Adichunchanagiri Hospital &amp; Research Centre Mandya SIRIUS+ PMS "/>
  </r>
  <r>
    <n v="43413"/>
    <s v="Assigned"/>
    <d v="2026-10-31T00:00:00"/>
    <s v="Adichunchanagiri Hospital &amp; Research Centre"/>
    <s v="Mandya"/>
    <s v="EM-4000"/>
    <s v="594009"/>
    <s v="PMS"/>
    <x v="5"/>
    <s v="3d782b0e-3f5a-4bbf-abea-cca8303ad00f"/>
    <s v="Manu Mohan"/>
    <s v="This week"/>
    <s v="594009"/>
    <d v="2026-07-02T00:00:00"/>
    <m/>
    <m/>
    <m/>
    <s v="https://mhmpl.sangamcrm.com/tickets/3d782b0e-3f5a-4bbf-abea-cca8303ad00f"/>
    <s v="Adichunchanagiri Hospital &amp; Research Centre Mandya EM-4000 PMS "/>
  </r>
  <r>
    <n v="40286"/>
    <s v="Assigned"/>
    <d v="2026-10-31T00:00:00"/>
    <s v="AIIMS Mangalagiri"/>
    <s v="Mangalagiri."/>
    <s v="SIRIUS+"/>
    <s v="24022132"/>
    <s v="PMS"/>
    <x v="1"/>
    <s v="e6375ee1-ce75-4724-80e5-4da6f45f013f"/>
    <s v="Motty C Das"/>
    <s v="This week"/>
    <s v="24022132"/>
    <d v="2026-07-31T00:00:00"/>
    <d v="2026-05-16T00:00:00"/>
    <d v="2026-03-12T00:00:00"/>
    <d v="2025-11-24T00:00:00"/>
    <s v="https://mhmpl.sangamcrm.com/tickets/e6375ee1-ce75-4724-80e5-4da6f45f013f"/>
    <s v="AIIMS Mangalagiri Mangalagiri. SIRIUS+ PMS "/>
  </r>
  <r>
    <n v="51771"/>
    <s v="Assigned"/>
    <d v="2026-11-30T00:00:00"/>
    <s v="NETHRADHAMA mangalore"/>
    <s v="MANGALORE"/>
    <s v="HS-60SL"/>
    <s v="OT08002"/>
    <s v="PMS"/>
    <x v="6"/>
    <s v="132f0bd4-41fa-49de-9ed5-cd4988f34c33"/>
    <s v="Manu Mohan"/>
    <s v="Next 30 days"/>
    <s v="OT08002"/>
    <d v="2026-07-03T00:00:00"/>
    <d v="2026-05-14T00:00:00"/>
    <d v="2025-12-23T00:00:00"/>
    <d v="2025-05-23T00:00:00"/>
    <s v="https://mhmpl.sangamcrm.com/tickets/132f0bd4-41fa-49de-9ed5-cd4988f34c33"/>
    <s v="NETHRADHAMA mangalore MANGALORE HS-60SL PMS "/>
  </r>
  <r>
    <n v="51772"/>
    <s v="Assigned"/>
    <d v="2026-11-30T00:00:00"/>
    <s v="NETHRADHAMA mangalore"/>
    <s v="MANGALORE"/>
    <s v="HS-60SL"/>
    <s v="OT08002"/>
    <s v="PMS"/>
    <x v="6"/>
    <s v="935ffdef-1857-48dc-aca3-c187ec6fdd78"/>
    <s v="Manu Mohan"/>
    <s v="Next 30 days"/>
    <s v="OT08002"/>
    <d v="2026-07-03T00:00:00"/>
    <d v="2026-05-14T00:00:00"/>
    <d v="2025-12-23T00:00:00"/>
    <d v="2025-05-23T00:00:00"/>
    <s v="https://mhmpl.sangamcrm.com/tickets/935ffdef-1857-48dc-aca3-c187ec6fdd78"/>
    <s v="NETHRADHAMA mangalore MANGALORE HS-60SL PMS "/>
  </r>
  <r>
    <n v="51705"/>
    <s v="Assigned"/>
    <d v="2026-10-31T00:00:00"/>
    <s v="NETHRADHAMA mangalore"/>
    <s v="MANGALORE"/>
    <s v="Enbio PRO"/>
    <s v="ST02-CH-22-70489"/>
    <s v="PMS"/>
    <x v="6"/>
    <s v="437b81df-0274-4138-9cd3-1d018b341924"/>
    <s v="Manu Mohan"/>
    <s v="This week"/>
    <s v="ST02-CH-22-70489"/>
    <d v="2025-05-23T00:00:00"/>
    <d v="2024-11-17T00:00:00"/>
    <d v="2024-06-06T00:00:00"/>
    <d v="2024-01-03T00:00:00"/>
    <s v="https://mhmpl.sangamcrm.com/tickets/437b81df-0274-4138-9cd3-1d018b341924"/>
    <s v="NETHRADHAMA mangalore MANGALORE Enbio PRO PMS "/>
  </r>
  <r>
    <n v="53701"/>
    <s v="Assigned"/>
    <d v="2026-10-31T00:00:00"/>
    <s v="AJ MEDICAL COLLEGE HOSPITAL"/>
    <s v="MANGALORE"/>
    <s v="OA-2000"/>
    <s v="548701"/>
    <s v="PMS"/>
    <x v="7"/>
    <s v="3551b758-4748-4fc5-8129-19853b0d8aad"/>
    <s v="Manu Mohan"/>
    <s v="This week"/>
    <s v="548701"/>
    <d v="2026-09-05T00:00:00"/>
    <m/>
    <m/>
    <m/>
    <s v="https://mhmpl.sangamcrm.com/tickets/3551b758-4748-4fc5-8129-19853b0d8aad"/>
    <s v="AJ MEDICAL COLLEGE HOSPITAL MANGALORE OA-2000 PMS "/>
  </r>
  <r>
    <n v="45044"/>
    <s v="Assigned"/>
    <d v="2026-11-30T00:00:00"/>
    <s v="NETHRADHAMA mangalore"/>
    <s v="MANGALORE"/>
    <s v="HS-1606VD"/>
    <s v="ZL01164"/>
    <s v="PMS"/>
    <x v="6"/>
    <s v="d96e25f7-5c43-44f0-87ef-afb9439849d0"/>
    <s v="Manu Mohan"/>
    <s v="Next 30 days"/>
    <s v="ZL01164"/>
    <d v="2026-05-08T00:00:00"/>
    <d v="2026-01-02T00:00:00"/>
    <d v="2024-12-09T00:00:00"/>
    <d v="2024-06-22T00:00:00"/>
    <s v="https://mhmpl.sangamcrm.com/tickets/d96e25f7-5c43-44f0-87ef-afb9439849d0"/>
    <s v="NETHRADHAMA mangalore MANGALORE HS-1606VD PMS "/>
  </r>
  <r>
    <n v="45045"/>
    <s v="Assigned"/>
    <d v="2026-10-31T00:00:00"/>
    <s v="NETHRADHAMA mangalore"/>
    <s v="MANGALORE"/>
    <s v="HS-1606VD"/>
    <s v="MR11047"/>
    <s v="PMS"/>
    <x v="6"/>
    <s v="94f10320-ad9c-4af2-8680-473f0b4f9399"/>
    <s v="Manu Mohan"/>
    <s v="This week"/>
    <s v="MR11047"/>
    <d v="2026-02-25T00:00:00"/>
    <d v="2026-02-24T00:00:00"/>
    <d v="2025-05-27T00:00:00"/>
    <d v="2024-06-06T00:00:00"/>
    <s v="https://mhmpl.sangamcrm.com/tickets/94f10320-ad9c-4af2-8680-473f0b4f9399"/>
    <s v="NETHRADHAMA mangalore MANGALORE HS-1606VD PMS "/>
  </r>
  <r>
    <n v="57027"/>
    <s v="Escalated to Parent Company"/>
    <d v="2026-10-29T00:00:00"/>
    <s v="Manipal Academy of Higher Education"/>
    <s v="Manipal"/>
    <s v="PTS 2000"/>
    <s v="7701819/Z"/>
    <s v="Service"/>
    <x v="7"/>
    <s v="6d728da9-a2f9-4d8f-9827-edd902d7f191"/>
    <s v="Manu Mohan"/>
    <s v="Overdue"/>
    <s v="7701819/Z"/>
    <d v="2026-08-11T00:00:00"/>
    <d v="2026-03-26T00:00:00"/>
    <d v="2025-08-19T00:00:00"/>
    <m/>
    <s v="https://mhmpl.sangamcrm.com/tickets/6d728da9-a2f9-4d8f-9827-edd902d7f191"/>
    <s v="Manipal Academy of Higher Education Manipal PTS 2000 Service "/>
  </r>
  <r>
    <n v="47014"/>
    <s v="Assigned"/>
    <d v="2026-09-30T00:00:00"/>
    <s v="TWO M LASER SERVICE"/>
    <s v="MUMBAI"/>
    <s v="REVO FC"/>
    <s v="1905895/X"/>
    <s v="PMS"/>
    <x v="18"/>
    <s v="325a0f2d-7887-439d-8423-64b2ff7a8356"/>
    <s v="Bibin Vijayan"/>
    <s v="Overdue"/>
    <s v="1905895/X"/>
    <d v="2026-03-17T00:00:00"/>
    <d v="2025-09-27T00:00:00"/>
    <m/>
    <m/>
    <s v="https://mhmpl.sangamcrm.com/tickets/325a0f2d-7887-439d-8423-64b2ff7a8356"/>
    <s v="TWO M LASER SERVICE MUMBAI REVO FC PMS "/>
  </r>
  <r>
    <n v="56856"/>
    <s v="In Process"/>
    <d v="2026-10-24T00:00:00"/>
    <s v="TWO M LASER SERVICE"/>
    <s v="MUMBAI"/>
    <s v="REVO FC"/>
    <s v="1908364"/>
    <s v="Service"/>
    <x v="8"/>
    <s v="8f873035-17e1-4a85-889a-610658d6d935"/>
    <s v="Rejish Baby"/>
    <s v="Overdue"/>
    <m/>
    <m/>
    <m/>
    <m/>
    <m/>
    <s v="https://mhmpl.sangamcrm.com/tickets/8f873035-17e1-4a85-889a-610658d6d935"/>
    <s v="TWO M LASER SERVICE MUMBAI REVO FC Service "/>
  </r>
  <r>
    <n v="45053"/>
    <s v="Assigned"/>
    <d v="2026-10-31T00:00:00"/>
    <s v="New Vision Eye Hospital (Eye Foundation group)"/>
    <s v="Mundakayam"/>
    <s v="TMS-4N"/>
    <s v="395210"/>
    <s v="PMS"/>
    <x v="0"/>
    <s v="d0a1fe94-27af-4ce0-af62-638c97d05e2d"/>
    <s v="Rejish Baby"/>
    <s v="This week"/>
    <s v="395210"/>
    <d v="2026-05-26T00:00:00"/>
    <d v="2025-09-15T00:00:00"/>
    <d v="2025-03-17T00:00:00"/>
    <d v="2024-10-22T00:00:00"/>
    <s v="https://mhmpl.sangamcrm.com/tickets/d0a1fe94-27af-4ce0-af62-638c97d05e2d"/>
    <s v="New Vision Eye Hospital (Eye Foundation group) Mundakayam TMS-4N PMS "/>
  </r>
  <r>
    <n v="45055"/>
    <s v="Assigned"/>
    <d v="2026-10-31T00:00:00"/>
    <s v="New Vision Eye Hospital (Eye Foundation group)"/>
    <s v="Mundakayam"/>
    <s v="IDRA FULL"/>
    <s v="I20220103"/>
    <s v="PMS"/>
    <x v="0"/>
    <s v="14bc2698-7fdd-489e-8e82-7ce65446a755"/>
    <s v="Rejish Baby"/>
    <s v="This week"/>
    <s v="I20220103"/>
    <d v="2026-05-26T00:00:00"/>
    <d v="2025-03-29T00:00:00"/>
    <d v="2024-10-22T00:00:00"/>
    <d v="2024-09-18T00:00:00"/>
    <s v="https://mhmpl.sangamcrm.com/tickets/14bc2698-7fdd-489e-8e82-7ce65446a755"/>
    <s v="New Vision Eye Hospital (Eye Foundation group) Mundakayam IDRA FULL PMS "/>
  </r>
  <r>
    <n v="55897"/>
    <s v="Pending from Customer end"/>
    <d v="2026-10-05T00:00:00"/>
    <s v="Parappuram's Smile Dental clinic"/>
    <s v="Muvattupuzha"/>
    <s v="Enbio PRO"/>
    <s v="ST02-CH-23-20162"/>
    <s v="Service"/>
    <x v="0"/>
    <s v="561c7b8f-a9ab-4a42-8ea1-ba7b947b83f1"/>
    <s v="Rejish Baby"/>
    <s v="Overdue"/>
    <s v="ST02-CH-23-20162"/>
    <d v="2026-04-22T00:00:00"/>
    <d v="2025-12-27T00:00:00"/>
    <d v="2025-04-16T00:00:00"/>
    <d v="2024-11-12T00:00:00"/>
    <s v="https://mhmpl.sangamcrm.com/tickets/561c7b8f-a9ab-4a42-8ea1-ba7b947b83f1"/>
    <s v="Parappuram's Smile Dental clinic Muvattupuzha Enbio PRO Service "/>
  </r>
  <r>
    <n v="45051"/>
    <s v="Assigned"/>
    <d v="2026-11-30T00:00:00"/>
    <s v="NETHRADHAMA Mysore"/>
    <s v="MYSORE"/>
    <s v="HS-3035BL"/>
    <s v="OM010047"/>
    <s v="PMS"/>
    <x v="7"/>
    <s v="3a479375-83b6-462d-931a-2c860efdc63f"/>
    <s v="Manu Mohan"/>
    <s v="Next 30 days"/>
    <s v="OM010047"/>
    <d v="2026-05-08T00:00:00"/>
    <d v="2025-12-19T00:00:00"/>
    <d v="2025-05-28T00:00:00"/>
    <d v="2024-06-06T00:00:00"/>
    <s v="https://mhmpl.sangamcrm.com/tickets/3a479375-83b6-462d-931a-2c860efdc63f"/>
    <s v="NETHRADHAMA Mysore MYSORE HS-3035BL PMS "/>
  </r>
  <r>
    <n v="55906"/>
    <s v="Assigned"/>
    <d v="2026-10-31T00:00:00"/>
    <s v="SNEHA EYE HOSPITAL"/>
    <s v="MYSORE"/>
    <s v="HS-3041BL"/>
    <s v="MS050024"/>
    <s v="PMS"/>
    <x v="6"/>
    <s v="aa4996fa-36bc-4975-b18b-2d7014ba545d"/>
    <s v="Manu Mohan"/>
    <s v="This week"/>
    <s v="MS050024"/>
    <d v="2026-05-15T00:00:00"/>
    <d v="2026-04-15T00:00:00"/>
    <d v="2025-09-15T00:00:00"/>
    <d v="2025-03-06T00:00:00"/>
    <s v="https://mhmpl.sangamcrm.com/tickets/aa4996fa-36bc-4975-b18b-2d7014ba545d"/>
    <s v="SNEHA EYE HOSPITAL MYSORE HS-3041BL PMS "/>
  </r>
  <r>
    <n v="45040"/>
    <s v="Assigned"/>
    <d v="2026-11-30T00:00:00"/>
    <s v="NETHRADHAMA Mysore"/>
    <s v="MYSORE"/>
    <s v="UV-X 2000"/>
    <s v="2000-302-07"/>
    <s v="PMS"/>
    <x v="7"/>
    <s v="25839fca-b174-4dc8-ac4b-4dc51fa49511"/>
    <s v="Manu Mohan"/>
    <s v="Next 30 days"/>
    <s v="2000-302-07"/>
    <d v="2026-05-15T00:00:00"/>
    <d v="2026-01-02T00:00:00"/>
    <d v="2025-05-21T00:00:00"/>
    <d v="2024-08-03T00:00:00"/>
    <s v="https://mhmpl.sangamcrm.com/tickets/25839fca-b174-4dc8-ac4b-4dc51fa49511"/>
    <s v="NETHRADHAMA Mysore MYSORE UV-X 2000 PMS "/>
  </r>
  <r>
    <n v="47830"/>
    <s v="Assigned"/>
    <d v="2026-11-30T00:00:00"/>
    <s v="BEJAN SINGH EYE HOSPITAL PVT.LTD."/>
    <s v="NAGARCOIL"/>
    <s v="TOPOLYZER VARIO"/>
    <s v="1029-1-1180"/>
    <s v="PMS"/>
    <x v="14"/>
    <s v="49874ce6-5942-46c8-9c85-d8e741e9e04b"/>
    <s v="Jinson P J"/>
    <s v="Next 30 days"/>
    <s v="1029-1-1180"/>
    <d v="2026-04-20T00:00:00"/>
    <d v="2025-11-20T00:00:00"/>
    <d v="2025-09-01T00:00:00"/>
    <d v="2024-12-28T00:00:00"/>
    <s v="https://mhmpl.sangamcrm.com/tickets/49874ce6-5942-46c8-9c85-d8e741e9e04b"/>
    <s v="BEJAN SINGH EYE HOSPITAL PVT.LTD. NAGARCOIL TOPOLYZER VARIO PMS "/>
  </r>
  <r>
    <n v="50252"/>
    <s v="Assigned"/>
    <d v="2026-10-31T00:00:00"/>
    <s v="BEJAN SINGH EYE HOSPITAL PVT.LTD."/>
    <s v="NAGARCOIL"/>
    <s v="EX500"/>
    <s v="1016-2-588"/>
    <s v="PMS"/>
    <x v="14"/>
    <s v="42cffdf3-1373-4487-a430-3dded1a72a0a"/>
    <s v="Jinson P J"/>
    <s v="This week"/>
    <s v="1016-2-588"/>
    <d v="2025-11-27T00:00:00"/>
    <d v="2025-03-12T00:00:00"/>
    <d v="2024-05-30T00:00:00"/>
    <d v="2023-11-09T00:00:00"/>
    <s v="https://mhmpl.sangamcrm.com/tickets/42cffdf3-1373-4487-a430-3dded1a72a0a"/>
    <s v="BEJAN SINGH EYE HOSPITAL PVT.LTD. NAGARCOIL EX500 PMS "/>
  </r>
  <r>
    <n v="47834"/>
    <s v="Assigned"/>
    <d v="2026-11-30T00:00:00"/>
    <s v="BEJAN SINGH EYE HOSPITAL PVT.LTD."/>
    <s v="NAGARCOIL"/>
    <s v="OCULYZER II"/>
    <s v="1021-1-489"/>
    <s v="PMS"/>
    <x v="14"/>
    <s v="4cf1e88a-bbb4-463c-91fd-ce89e2e6e2f7"/>
    <s v="Jinson P J"/>
    <s v="Next 30 days"/>
    <s v="1021-1-489"/>
    <d v="2026-04-20T00:00:00"/>
    <d v="2025-11-20T00:00:00"/>
    <d v="2025-09-01T00:00:00"/>
    <m/>
    <s v="https://mhmpl.sangamcrm.com/tickets/4cf1e88a-bbb4-463c-91fd-ce89e2e6e2f7"/>
    <s v="BEJAN SINGH EYE HOSPITAL PVT.LTD. NAGARCOIL OCULYZER II PMS "/>
  </r>
  <r>
    <n v="51475"/>
    <s v="Assigned"/>
    <d v="2026-11-30T00:00:00"/>
    <s v="NAYANA EYE CARE"/>
    <s v="Nandyal"/>
    <s v="SIRIUS+"/>
    <s v="26043022"/>
    <s v="PMS"/>
    <x v="19"/>
    <s v="e97cbe7a-5757-41b7-a68a-2e45cae57071"/>
    <s v="Bibin Vijayan"/>
    <s v="Next 30 days"/>
    <s v="26043022"/>
    <m/>
    <m/>
    <m/>
    <m/>
    <s v="https://mhmpl.sangamcrm.com/tickets/e97cbe7a-5757-41b7-a68a-2e45cae57071"/>
    <s v="NAYANA EYE CARE Nandyal SIRIUS+ PMS "/>
  </r>
  <r>
    <n v="50498"/>
    <s v="Assigned"/>
    <d v="2026-10-31T00:00:00"/>
    <s v="NAYANA EYE CARE"/>
    <s v="Nandyal"/>
    <s v="EVOLUTION 3"/>
    <s v="10028"/>
    <s v="PMS"/>
    <x v="19"/>
    <s v="54c565cd-52e8-4bf3-b6c0-b1e32ceb5c9c"/>
    <s v="Bibin Vijayan"/>
    <s v="This week"/>
    <s v="10028"/>
    <m/>
    <m/>
    <m/>
    <m/>
    <s v="https://mhmpl.sangamcrm.com/tickets/54c565cd-52e8-4bf3-b6c0-b1e32ceb5c9c"/>
    <s v="NAYANA EYE CARE Nandyal EVOLUTION 3 PMS "/>
  </r>
  <r>
    <n v="50486"/>
    <s v="Scheduled"/>
    <d v="2026-08-26T00:00:00"/>
    <s v="NAYANA EYE CARE"/>
    <s v="Nandyal"/>
    <s v="TOPOLYZER VARIO"/>
    <s v="1029-5-224"/>
    <s v="PMS"/>
    <x v="19"/>
    <s v="3d2a587e-7594-4b33-b50d-d4abaec3d74f"/>
    <s v="Bibin Vijayan"/>
    <s v="Overdue"/>
    <s v="1029-5-224"/>
    <m/>
    <m/>
    <m/>
    <m/>
    <s v="https://mhmpl.sangamcrm.com/tickets/3d2a587e-7594-4b33-b50d-d4abaec3d74f"/>
    <s v="NAYANA EYE CARE Nandyal TOPOLYZER VARIO PMS "/>
  </r>
  <r>
    <n v="43664"/>
    <s v="Assigned"/>
    <d v="2026-10-31T00:00:00"/>
    <s v="Dr Raja Sekhar eye hospital"/>
    <s v="NELLORE"/>
    <s v="IDRA FULL"/>
    <s v="I20250125"/>
    <s v="PMS"/>
    <x v="10"/>
    <s v="3389291a-7ba7-49d4-923c-e898bbf0f067"/>
    <s v="Motty C Das"/>
    <s v="This week"/>
    <s v="I20250125"/>
    <d v="2026-06-11T00:00:00"/>
    <m/>
    <m/>
    <m/>
    <s v="https://mhmpl.sangamcrm.com/tickets/3389291a-7ba7-49d4-923c-e898bbf0f067"/>
    <s v="Dr Raja Sekhar eye hospital NELLORE IDRA FULL PMS "/>
  </r>
  <r>
    <n v="43818"/>
    <s v="Assigned"/>
    <d v="2026-10-31T00:00:00"/>
    <s v="SUSEELA NETHRALAYA, Hyderabad"/>
    <s v="Nellore"/>
    <s v="REVO FC"/>
    <s v="1906388/X"/>
    <s v="PMS"/>
    <x v="13"/>
    <s v="520c3902-8e10-4ff0-b243-04fc714e7eb5"/>
    <s v="Motty C Das"/>
    <s v="This week"/>
    <s v="1906388/X"/>
    <d v="2026-06-11T00:00:00"/>
    <d v="2025-11-10T00:00:00"/>
    <d v="2025-07-17T00:00:00"/>
    <d v="2024-12-05T00:00:00"/>
    <s v="https://mhmpl.sangamcrm.com/tickets/520c3902-8e10-4ff0-b243-04fc714e7eb5"/>
    <s v="SUSEELA NETHRALAYA, Hyderabad Nellore REVO FC PMS "/>
  </r>
  <r>
    <n v="53344"/>
    <s v="Assigned"/>
    <d v="2026-11-30T00:00:00"/>
    <s v="HARSHA SAI EYE HOSPITAL"/>
    <s v="NIZAMABAD"/>
    <s v="EX500"/>
    <s v="1016-4-1033"/>
    <s v="PMS"/>
    <x v="18"/>
    <s v="39c6d663-0bc0-4ed3-b51f-3a1d40ed44d9"/>
    <s v="Bibin Vijayan"/>
    <s v="Next 30 days"/>
    <s v="1016-4-1033"/>
    <d v="2026-05-19T00:00:00"/>
    <d v="2025-11-22T00:00:00"/>
    <d v="2025-01-04T00:00:00"/>
    <d v="2024-05-18T00:00:00"/>
    <s v="https://mhmpl.sangamcrm.com/tickets/39c6d663-0bc0-4ed3-b51f-3a1d40ed44d9"/>
    <s v="HARSHA SAI EYE HOSPITAL NIZAMABAD EX500 PMS "/>
  </r>
  <r>
    <n v="44195"/>
    <s v="Assigned"/>
    <d v="2026-11-30T00:00:00"/>
    <s v="DURGA NURSING HOME"/>
    <s v="ONGOLE"/>
    <s v="REVO FC"/>
    <s v="1908349/Z"/>
    <s v="PMS"/>
    <x v="1"/>
    <s v="337b665b-ad4b-4670-8b87-ee150d1493ad"/>
    <s v="Motty C Das"/>
    <s v="Next 30 days"/>
    <s v="1908349/Z"/>
    <d v="2026-06-23T00:00:00"/>
    <m/>
    <m/>
    <m/>
    <s v="https://mhmpl.sangamcrm.com/tickets/337b665b-ad4b-4670-8b87-ee150d1493ad"/>
    <s v="DURGA NURSING HOME ONGOLE REVO FC PMS "/>
  </r>
  <r>
    <n v="52222"/>
    <s v="Assigned"/>
    <d v="2026-11-30T00:00:00"/>
    <s v="ARAVIND EYE HOSPITAL ONGOLE"/>
    <s v="ONGOLE"/>
    <s v="HS-2522BL"/>
    <s v="MA100038"/>
    <s v="PMS"/>
    <x v="1"/>
    <s v="f634656e-e22f-4891-8057-924c53e611bc"/>
    <s v="Motty C Das"/>
    <s v="Next 30 days"/>
    <s v="MA100038"/>
    <d v="2026-04-18T00:00:00"/>
    <d v="2025-12-23T00:00:00"/>
    <d v="2025-04-03T00:00:00"/>
    <d v="2024-11-05T00:00:00"/>
    <s v="https://mhmpl.sangamcrm.com/tickets/f634656e-e22f-4891-8057-924c53e611bc"/>
    <s v="ARAVIND EYE HOSPITAL ONGOLE ONGOLE HS-2522BL PMS "/>
  </r>
  <r>
    <n v="44099"/>
    <s v="Assigned"/>
    <d v="2026-11-30T00:00:00"/>
    <s v="P K DAS Institue Of Medical Sciences"/>
    <s v="Ottapalam"/>
    <s v="REVO FC"/>
    <s v="1906902/Y"/>
    <s v="PMS"/>
    <x v="8"/>
    <s v="3b7333fc-dfa3-4a8f-bfa0-2b888c53147d"/>
    <s v="Rejish Baby"/>
    <s v="Next 30 days"/>
    <s v="1906902/Y"/>
    <d v="2026-04-23T00:00:00"/>
    <d v="2025-11-28T00:00:00"/>
    <d v="2025-05-20T00:00:00"/>
    <m/>
    <s v="https://mhmpl.sangamcrm.com/tickets/3b7333fc-dfa3-4a8f-bfa0-2b888c53147d"/>
    <s v="P K DAS Institue Of Medical Sciences Ottapalam REVO FC PMS "/>
  </r>
  <r>
    <n v="55089"/>
    <s v="Pending from Customer end"/>
    <d v="2026-09-18T00:00:00"/>
    <s v="AHALIA FOUNDATION EYE HOSPITAL"/>
    <s v="PALAKKAD"/>
    <s v="Enbio PRO"/>
    <s v="ST02-CH-22-70520"/>
    <s v="Service"/>
    <x v="17"/>
    <s v="743ab4d1-d155-4c8b-82e6-12a185c59938"/>
    <s v="Jinson P J"/>
    <s v="Overdue"/>
    <s v="ST02-CH-22-70520"/>
    <d v="2026-05-05T00:00:00"/>
    <d v="2025-12-26T00:00:00"/>
    <d v="2025-04-10T00:00:00"/>
    <d v="2024-11-04T00:00:00"/>
    <s v="https://mhmpl.sangamcrm.com/tickets/743ab4d1-d155-4c8b-82e6-12a185c59938"/>
    <s v="AHALIA FOUNDATION EYE HOSPITAL PALAKKAD Enbio PRO Service "/>
  </r>
  <r>
    <n v="53108"/>
    <s v="Assigned"/>
    <d v="2026-11-30T00:00:00"/>
    <s v="AHALIA FOUNDATION EYE HOSPITAL"/>
    <s v="PALAKKAD"/>
    <s v="REVO 60"/>
    <s v="1910537/X"/>
    <s v="PMS"/>
    <x v="14"/>
    <s v="12d735f9-0065-48df-80da-252ff9a7f038"/>
    <s v="Jinson P J"/>
    <s v="Next 30 days"/>
    <s v="1910537/X"/>
    <d v="2026-05-28T00:00:00"/>
    <d v="2025-09-24T00:00:00"/>
    <d v="2025-02-28T00:00:00"/>
    <d v="2024-07-24T00:00:00"/>
    <s v="https://mhmpl.sangamcrm.com/tickets/12d735f9-0065-48df-80da-252ff9a7f038"/>
    <s v="AHALIA FOUNDATION EYE HOSPITAL PALAKKAD REVO 60 PMS "/>
  </r>
  <r>
    <n v="50776"/>
    <s v="Escalated to Parent Company"/>
    <d v="2026-06-15T00:00:00"/>
    <s v="AHALIA FOUNDATION EYE HOSPITAL"/>
    <s v="PALAKKAD"/>
    <s v="SIRIUS+"/>
    <s v="21051135"/>
    <s v="Service"/>
    <x v="14"/>
    <s v="75bbbb56-abfe-4436-8b53-cb1af3e81678"/>
    <s v="Jinson P J"/>
    <s v="Overdue"/>
    <s v="21051135"/>
    <d v="2026-06-24T00:00:00"/>
    <d v="2026-05-14T00:00:00"/>
    <d v="2026-05-05T00:00:00"/>
    <d v="2025-12-28T00:00:00"/>
    <s v="https://mhmpl.sangamcrm.com/tickets/75bbbb56-abfe-4436-8b53-cb1af3e81678"/>
    <s v="AHALIA FOUNDATION EYE HOSPITAL PALAKKAD SIRIUS+ Service "/>
  </r>
  <r>
    <n v="46603"/>
    <s v="Assigned"/>
    <d v="2026-10-31T00:00:00"/>
    <s v="THE EYE FOUNDATION"/>
    <s v="Palakkad"/>
    <s v="OA-2000"/>
    <s v="161301"/>
    <s v="PMS"/>
    <x v="14"/>
    <s v="53619aea-a80c-4561-9ca2-a597d6a7b6b8"/>
    <s v="Jinson P J"/>
    <s v="This week"/>
    <s v="161301"/>
    <d v="2026-05-26T00:00:00"/>
    <d v="2026-05-12T00:00:00"/>
    <d v="2025-07-16T00:00:00"/>
    <d v="2025-01-18T00:00:00"/>
    <s v="https://mhmpl.sangamcrm.com/tickets/53619aea-a80c-4561-9ca2-a597d6a7b6b8"/>
    <s v="THE EYE FOUNDATION Palakkad OA-2000 PMS "/>
  </r>
  <r>
    <n v="56538"/>
    <s v="Under Observation"/>
    <d v="2026-10-19T00:00:00"/>
    <s v="VIJAYAM EYE CLINIC"/>
    <s v="PALAKKAD"/>
    <s v="HS-1321"/>
    <s v="ZM07115"/>
    <s v="Service"/>
    <x v="3"/>
    <s v="418a9bc7-b197-4ef4-8d16-edb4e8eb58cf"/>
    <s v="Jinson P J"/>
    <s v="Overdue"/>
    <s v="ZM07115"/>
    <m/>
    <m/>
    <m/>
    <m/>
    <s v="https://mhmpl.sangamcrm.com/tickets/418a9bc7-b197-4ef4-8d16-edb4e8eb58cf"/>
    <s v="VIJAYAM EYE CLINIC PALAKKAD HS-1321 Service "/>
  </r>
  <r>
    <n v="51040"/>
    <s v="Assigned"/>
    <d v="2026-11-30T00:00:00"/>
    <s v="ST. GREGORIOS MEDICAL MISSION HOSPITAL"/>
    <s v="Parumala"/>
    <s v="OA-2000"/>
    <s v="601A31152"/>
    <s v="PMS"/>
    <x v="8"/>
    <s v="42db7127-251e-4dea-b71a-6775f0aad2b2"/>
    <s v="Rejish Baby"/>
    <s v="Next 30 days"/>
    <s v="601A31152"/>
    <m/>
    <m/>
    <m/>
    <m/>
    <s v="https://mhmpl.sangamcrm.com/tickets/42db7127-251e-4dea-b71a-6775f0aad2b2"/>
    <s v="ST. GREGORIOS MEDICAL MISSION HOSPITAL Parumala OA-2000 PMS "/>
  </r>
  <r>
    <n v="52253"/>
    <s v="Assigned"/>
    <d v="2026-10-31T00:00:00"/>
    <s v="IZARA EYE HOSPITAL"/>
    <s v="Pathanamthitta"/>
    <s v="REVO 60"/>
    <s v="1910969/Y"/>
    <s v="PMS"/>
    <x v="0"/>
    <s v="fbf2418d-7eaa-47e8-b393-cd29b7fb846c"/>
    <s v="Rejish Baby"/>
    <s v="This week"/>
    <s v="1910969/Y"/>
    <d v="2026-06-29T00:00:00"/>
    <d v="2025-12-29T00:00:00"/>
    <d v="2025-06-06T00:00:00"/>
    <d v="2024-12-16T00:00:00"/>
    <s v="https://mhmpl.sangamcrm.com/tickets/fbf2418d-7eaa-47e8-b393-cd29b7fb846c"/>
    <s v="IZARA EYE HOSPITAL Pathanamthitta REVO 60 PMS "/>
  </r>
  <r>
    <n v="45990"/>
    <s v="Assigned"/>
    <d v="2026-11-30T00:00:00"/>
    <s v="MOULANA HOSPITAL"/>
    <s v="PERINTHALMANNA"/>
    <s v="FT-1000"/>
    <s v="175912"/>
    <s v="PMS"/>
    <x v="8"/>
    <s v="8e0ada06-94f5-4cb3-be35-417f1400cbe7"/>
    <s v="Rejish Baby"/>
    <s v="Next 30 days"/>
    <s v="175912"/>
    <d v="2026-06-06T00:00:00"/>
    <d v="2025-11-03T00:00:00"/>
    <d v="2025-05-20T00:00:00"/>
    <d v="2024-12-10T00:00:00"/>
    <s v="https://mhmpl.sangamcrm.com/tickets/8e0ada06-94f5-4cb3-be35-417f1400cbe7"/>
    <s v="MOULANA HOSPITAL PERINTHALMANNA FT-1000 PMS "/>
  </r>
  <r>
    <n v="45992"/>
    <s v="Assigned"/>
    <d v="2026-11-30T00:00:00"/>
    <s v="MOULANA HOSPITAL"/>
    <s v="PERINTHALMANNA"/>
    <s v="TMS-4N"/>
    <s v="139608"/>
    <s v="PMS"/>
    <x v="8"/>
    <s v="d8028e02-ce66-4329-a007-1b4a1adc70ab"/>
    <s v="Rejish Baby"/>
    <s v="Next 30 days"/>
    <s v="139608"/>
    <d v="2026-06-06T00:00:00"/>
    <d v="2026-02-05T00:00:00"/>
    <d v="2025-08-04T00:00:00"/>
    <d v="2025-05-20T00:00:00"/>
    <s v="https://mhmpl.sangamcrm.com/tickets/d8028e02-ce66-4329-a007-1b4a1adc70ab"/>
    <s v="MOULANA HOSPITAL PERINTHALMANNA TMS-4N PMS "/>
  </r>
  <r>
    <n v="56249"/>
    <s v="Under Observation"/>
    <d v="2026-10-14T00:00:00"/>
    <s v="APPASAMY OCULAR DEVICES (P)LTD."/>
    <s v="PUDUCHERRY"/>
    <s v="RS120A"/>
    <s v="30250383"/>
    <s v="Service"/>
    <x v="11"/>
    <s v="b95c5c81-0cc5-413b-a18f-5516f604cbc6"/>
    <s v="Manivannan D"/>
    <s v="Overdue"/>
    <s v="30250383"/>
    <m/>
    <m/>
    <m/>
    <m/>
    <s v="https://mhmpl.sangamcrm.com/tickets/b95c5c81-0cc5-413b-a18f-5516f604cbc6"/>
    <s v="APPASAMY OCULAR DEVICES (P)LTD. PUDUCHERRY RS120A Service "/>
  </r>
  <r>
    <n v="56660"/>
    <s v="Part Pending"/>
    <d v="2026-10-22T00:00:00"/>
    <s v="APPASAMY OCULAR DEVICES (P)LTD."/>
    <s v="PUDUCHERRY"/>
    <s v="RS120A"/>
    <s v="30250394"/>
    <s v="Service"/>
    <x v="11"/>
    <s v="4b8bfc86-757f-473c-a90d-e6d71d28ab81"/>
    <s v="Manivannan D"/>
    <s v="Overdue"/>
    <s v="30250394"/>
    <d v="2026-07-01T00:00:00"/>
    <m/>
    <m/>
    <m/>
    <s v="https://mhmpl.sangamcrm.com/tickets/4b8bfc86-757f-473c-a90d-e6d71d28ab81"/>
    <s v="APPASAMY OCULAR DEVICES (P)LTD. PUDUCHERRY RS120A Service "/>
  </r>
  <r>
    <n v="42635"/>
    <s v="Assigned"/>
    <d v="2026-10-31T00:00:00"/>
    <s v="ARCHANA EYE CARE"/>
    <s v="Puducherry"/>
    <s v="REVO 60"/>
    <s v="1911444/Z"/>
    <s v="PMS"/>
    <x v="11"/>
    <s v="cc9ff2a1-aff7-4393-a428-ca0888ed5925"/>
    <s v="Manivannan D"/>
    <s v="This week"/>
    <s v="1911444/Z"/>
    <d v="2026-05-13T00:00:00"/>
    <m/>
    <m/>
    <m/>
    <s v="https://mhmpl.sangamcrm.com/tickets/cc9ff2a1-aff7-4393-a428-ca0888ed5925"/>
    <s v="ARCHANA EYE CARE Puducherry REVO 60 PMS "/>
  </r>
  <r>
    <n v="44685"/>
    <s v="Assigned"/>
    <d v="2026-10-31T00:00:00"/>
    <s v="ARAVIND EYE HOSPITAL-PONDICHERRY"/>
    <s v="PUDUCHERRY"/>
    <s v="EVOLUTION 3E"/>
    <s v="9713"/>
    <s v="PMS"/>
    <x v="12"/>
    <s v="033a34e3-580e-4eb4-bee1-aed95bd98e10"/>
    <s v="Manivannan D"/>
    <s v="This week"/>
    <s v="9713"/>
    <d v="2026-05-19T00:00:00"/>
    <d v="2025-11-03T00:00:00"/>
    <d v="2025-05-08T00:00:00"/>
    <d v="2024-12-13T00:00:00"/>
    <s v="https://mhmpl.sangamcrm.com/tickets/033a34e3-580e-4eb4-bee1-aed95bd98e10"/>
    <s v="ARAVIND EYE HOSPITAL-PONDICHERRY PUDUCHERRY EVOLUTION 3E PMS "/>
  </r>
  <r>
    <n v="48019"/>
    <s v="Assigned"/>
    <d v="2026-10-31T00:00:00"/>
    <s v="SANKAR'S EYE HOSPITAL"/>
    <s v="PUNALUR"/>
    <s v="IDRA FULL"/>
    <s v="I20250122"/>
    <s v="PMS"/>
    <x v="2"/>
    <s v="fd1c08ef-b1d7-4c38-8fb3-11360b59e6f1"/>
    <s v="Rejish Baby"/>
    <s v="This week"/>
    <s v="I20250122"/>
    <m/>
    <m/>
    <m/>
    <m/>
    <s v="https://mhmpl.sangamcrm.com/tickets/fd1c08ef-b1d7-4c38-8fb3-11360b59e6f1"/>
    <s v="SANKAR'S EYE HOSPITAL PUNALUR IDRA FULL PMS "/>
  </r>
  <r>
    <n v="44281"/>
    <s v="Assigned"/>
    <d v="2026-11-30T00:00:00"/>
    <s v="THRISHALA DEVI EYE HOSPITAL RABKAVI"/>
    <s v="Rabkavi"/>
    <s v="REVO FC"/>
    <s v="1908397/Z"/>
    <s v="PMS"/>
    <x v="6"/>
    <s v="38c69ba6-8565-4d40-801e-eb2ac8e154c0"/>
    <s v="Manu Mohan"/>
    <s v="Next 30 days"/>
    <s v="1908397/Z"/>
    <d v="2026-05-06T00:00:00"/>
    <m/>
    <m/>
    <m/>
    <s v="https://mhmpl.sangamcrm.com/tickets/38c69ba6-8565-4d40-801e-eb2ac8e154c0"/>
    <s v="THRISHALA DEVI EYE HOSPITAL RABKAVI Rabkavi REVO FC PMS "/>
  </r>
  <r>
    <n v="41327"/>
    <s v="Assigned"/>
    <d v="2026-10-31T00:00:00"/>
    <s v="MM JOSHI EYE INSTITUTE RAICHUR"/>
    <s v="Raichur"/>
    <s v="REVO FC"/>
    <s v="1906906/Y"/>
    <s v="PMS"/>
    <x v="6"/>
    <s v="f3d77702-a08b-4848-af86-be1ad287f55a"/>
    <s v="Manu Mohan"/>
    <s v="This week"/>
    <s v="1906906/Y"/>
    <d v="2026-09-28T00:00:00"/>
    <d v="2026-06-23T00:00:00"/>
    <d v="2025-12-19T00:00:00"/>
    <d v="2025-07-28T00:00:00"/>
    <s v="https://mhmpl.sangamcrm.com/tickets/f3d77702-a08b-4848-af86-be1ad287f55a"/>
    <s v="MM JOSHI EYE INSTITUTE RAICHUR Raichur REVO FC PMS "/>
  </r>
  <r>
    <n v="54829"/>
    <s v="Assigned"/>
    <d v="2026-11-30T00:00:00"/>
    <s v="Dr Satyas Eye Hospital Rajahmundry"/>
    <s v="Rajah undry"/>
    <s v="PTS 2000"/>
    <s v="7701820/Z"/>
    <s v="PMS"/>
    <x v="10"/>
    <s v="bbc517e4-c884-4a28-b637-5d69c46c2a5e"/>
    <s v="Motty C Das"/>
    <s v="Next 30 days"/>
    <s v="7701820/Z"/>
    <m/>
    <m/>
    <m/>
    <m/>
    <s v="https://mhmpl.sangamcrm.com/tickets/bbc517e4-c884-4a28-b637-5d69c46c2a5e"/>
    <s v="Dr Satyas Eye Hospital Rajahmundry Rajah undry PTS 2000 PMS "/>
  </r>
  <r>
    <n v="54989"/>
    <s v="Ready to Review &amp; Close"/>
    <d v="2026-09-10T00:00:00"/>
    <s v="Dr Satyas Eye Hospital Rajahmundry"/>
    <s v="Rajah undry"/>
    <s v="DGH 6000"/>
    <s v="1486"/>
    <s v="Installation"/>
    <x v="10"/>
    <s v="ae4c38d6-1c2a-4ef8-b0de-a29e92d7cbd1"/>
    <s v="Motty C Das"/>
    <s v="Overdue"/>
    <s v="1486"/>
    <m/>
    <m/>
    <m/>
    <m/>
    <s v="https://mhmpl.sangamcrm.com/tickets/ae4c38d6-1c2a-4ef8-b0de-a29e92d7cbd1"/>
    <s v="Dr Satyas Eye Hospital Rajahmundry Rajah undry DGH 6000 Installation "/>
  </r>
  <r>
    <n v="50823"/>
    <s v="Assigned"/>
    <d v="2026-11-30T00:00:00"/>
    <s v="Om Sri Ram Eye Care &amp; Retina Centre"/>
    <s v="RAJAHMUNDRY"/>
    <s v="REVO FC"/>
    <s v="1908095/Z"/>
    <s v="PMS"/>
    <x v="10"/>
    <s v="85e7592f-11b4-4a82-a53d-cb891b8515c2"/>
    <s v="Motty C Das"/>
    <s v="Next 30 days"/>
    <s v="1908095/Z"/>
    <d v="2026-04-15T00:00:00"/>
    <d v="2025-11-26T00:00:00"/>
    <m/>
    <m/>
    <s v="https://mhmpl.sangamcrm.com/tickets/85e7592f-11b4-4a82-a53d-cb891b8515c2"/>
    <s v="Om Sri Ram Eye Care &amp; Retina Centre RAJAHMUNDRY REVO FC PMS "/>
  </r>
  <r>
    <n v="49985"/>
    <s v="Assigned"/>
    <d v="2026-11-10T00:00:00"/>
    <s v="Smart vision Rajahmundry"/>
    <s v="Rajahmundry"/>
    <s v="HS-2522BL"/>
    <s v="OO020083"/>
    <s v="PMS"/>
    <x v="10"/>
    <s v="f7521245-cd97-489e-8166-d31148305f12"/>
    <s v="Motty C Das"/>
    <s v="Next 30 days"/>
    <s v="OO020083"/>
    <d v="2026-05-14T00:00:00"/>
    <d v="2025-11-26T00:00:00"/>
    <d v="2025-04-22T00:00:00"/>
    <d v="2024-11-27T00:00:00"/>
    <s v="https://mhmpl.sangamcrm.com/tickets/f7521245-cd97-489e-8166-d31148305f12"/>
    <s v="Smart vision Rajahmundry Rajahmundry HS-2522BL PMS "/>
  </r>
  <r>
    <n v="52120"/>
    <s v="Assigned"/>
    <d v="2026-11-30T00:00:00"/>
    <s v="AKIRA EYE HOSPITAL"/>
    <s v="RAJAHMUNDRY"/>
    <s v="SL9900"/>
    <s v="11110002"/>
    <s v="PMS"/>
    <x v="10"/>
    <s v="847848df-8fa3-4721-8a60-e0155c5ab679"/>
    <s v="Motty C Das"/>
    <s v="Next 30 days"/>
    <s v="11110002"/>
    <d v="2026-05-13T00:00:00"/>
    <d v="2025-12-26T00:00:00"/>
    <d v="2025-06-11T00:00:00"/>
    <d v="2024-12-24T00:00:00"/>
    <s v="https://mhmpl.sangamcrm.com/tickets/847848df-8fa3-4721-8a60-e0155c5ab679"/>
    <s v="AKIRA EYE HOSPITAL RAJAHMUNDRY SL9900 PMS "/>
  </r>
  <r>
    <n v="51158"/>
    <s v="Assigned"/>
    <d v="2026-11-30T00:00:00"/>
    <s v="AKIRA EYE HOSPITAL"/>
    <s v="RAJAHMUNDRY"/>
    <s v="SIRIUS"/>
    <s v="18023043"/>
    <s v="PMS"/>
    <x v="10"/>
    <s v="256a71f8-5579-49b6-928f-41e0a32b3c58"/>
    <s v="Motty C Das"/>
    <s v="Next 30 days"/>
    <s v="18023043"/>
    <d v="2026-05-13T00:00:00"/>
    <d v="2025-12-26T00:00:00"/>
    <d v="2025-06-11T00:00:00"/>
    <d v="2025-04-15T00:00:00"/>
    <s v="https://mhmpl.sangamcrm.com/tickets/256a71f8-5579-49b6-928f-41e0a32b3c58"/>
    <s v="AKIRA EYE HOSPITAL RAJAHMUNDRY SIRIUS PMS "/>
  </r>
  <r>
    <n v="51907"/>
    <s v="Assigned"/>
    <d v="2026-11-30T00:00:00"/>
    <s v="Dr. Agarwal's Eye Hospital - Rajamundry"/>
    <s v="Rajamundry"/>
    <s v="Antares+"/>
    <s v="24090996"/>
    <s v="PMS"/>
    <x v="10"/>
    <s v="d183ab2b-4bb9-41e0-b5e0-307872c04e0b"/>
    <s v="Motty C Das"/>
    <s v="Next 30 days"/>
    <s v="24090996"/>
    <m/>
    <m/>
    <m/>
    <m/>
    <s v="https://mhmpl.sangamcrm.com/tickets/d183ab2b-4bb9-41e0-b5e0-307872c04e0b"/>
    <s v="Dr. Agarwal's Eye Hospital - Rajamundry Rajamundry Antares+ PMS "/>
  </r>
  <r>
    <n v="50490"/>
    <s v="Assigned"/>
    <d v="2026-10-31T00:00:00"/>
    <s v="Sree Sudha Netralaya"/>
    <s v="Rangareddy"/>
    <s v="HS-2522BL"/>
    <s v="OS020008"/>
    <s v="PMS"/>
    <x v="19"/>
    <s v="a8f69077-1206-45fc-808f-62d081bff4e7"/>
    <s v="Bibin Vijayan"/>
    <s v="This week"/>
    <s v="OS020008"/>
    <m/>
    <m/>
    <m/>
    <m/>
    <s v="https://mhmpl.sangamcrm.com/tickets/a8f69077-1206-45fc-808f-62d081bff4e7"/>
    <s v="Sree Sudha Netralaya Rangareddy HS-2522BL PMS "/>
  </r>
  <r>
    <n v="47528"/>
    <s v="Assigned"/>
    <d v="2026-10-31T00:00:00"/>
    <s v="ARUL EYE CARE"/>
    <s v="SALEM"/>
    <s v="E-Eye"/>
    <s v="D029AF001C08A025310007"/>
    <s v="PMS"/>
    <x v="14"/>
    <s v="d50302e8-16d8-4612-a56a-d01982ef2fef"/>
    <s v="Jinson P J"/>
    <s v="This week"/>
    <s v="D029AF001C08A025310007"/>
    <m/>
    <m/>
    <m/>
    <m/>
    <s v="https://mhmpl.sangamcrm.com/tickets/d50302e8-16d8-4612-a56a-d01982ef2fef"/>
    <s v="ARUL EYE CARE SALEM E-Eye PMS "/>
  </r>
  <r>
    <n v="41362"/>
    <s v="Assigned"/>
    <d v="2026-10-31T00:00:00"/>
    <s v="AGARWAL EYE HOSPITAL"/>
    <s v="SALEM"/>
    <s v="HS-2522BL"/>
    <s v="od070041"/>
    <s v="PMS"/>
    <x v="14"/>
    <s v="27197785-61ee-4aee-b23d-110e4ccc5574"/>
    <s v="Jinson P J"/>
    <s v="This week"/>
    <s v="od070041"/>
    <d v="2026-06-26T00:00:00"/>
    <m/>
    <m/>
    <m/>
    <s v="https://mhmpl.sangamcrm.com/tickets/27197785-61ee-4aee-b23d-110e4ccc5574"/>
    <s v="AGARWAL EYE HOSPITAL SALEM HS-2522BL PMS "/>
  </r>
  <r>
    <n v="50477"/>
    <s v="Assigned"/>
    <d v="2026-11-30T00:00:00"/>
    <s v="ARUL EYE CARE"/>
    <s v="SALEM"/>
    <s v="HS-2522BL"/>
    <s v="OD120026"/>
    <s v="PMS"/>
    <x v="3"/>
    <s v="88819214-3705-41cf-9c71-3008fae77a5c"/>
    <s v="Jinson P J"/>
    <s v="Next 30 days"/>
    <s v="OD120026"/>
    <d v="2026-06-26T00:00:00"/>
    <m/>
    <m/>
    <m/>
    <s v="https://mhmpl.sangamcrm.com/tickets/88819214-3705-41cf-9c71-3008fae77a5c"/>
    <s v="ARUL EYE CARE SALEM HS-2522BL PMS "/>
  </r>
  <r>
    <n v="44033"/>
    <s v="Assigned"/>
    <d v="2026-11-30T00:00:00"/>
    <s v="Aravind Eye Hospital Salem New"/>
    <s v="Salem"/>
    <s v="EM-4000"/>
    <s v="562903"/>
    <s v="PMS"/>
    <x v="3"/>
    <s v="37c6af93-0f03-457b-b6b2-7ed4dec07758"/>
    <s v="Jinson P J"/>
    <s v="Next 30 days"/>
    <s v="562903"/>
    <d v="2026-06-25T00:00:00"/>
    <m/>
    <m/>
    <m/>
    <s v="https://mhmpl.sangamcrm.com/tickets/37c6af93-0f03-457b-b6b2-7ed4dec07758"/>
    <s v="Aravind Eye Hospital Salem New Salem EM-4000 PMS "/>
  </r>
  <r>
    <n v="44031"/>
    <s v="Assigned"/>
    <d v="2026-11-30T00:00:00"/>
    <s v="Aravind Eye Hospital Salem New"/>
    <s v="Salem"/>
    <s v="Pachette 4"/>
    <s v="1751"/>
    <s v="PMS"/>
    <x v="3"/>
    <s v="53799171-8a45-4e05-b798-3bf832db3bd0"/>
    <s v="Jinson P J"/>
    <s v="Next 30 days"/>
    <s v="1751"/>
    <d v="2026-06-25T00:00:00"/>
    <m/>
    <m/>
    <m/>
    <s v="https://mhmpl.sangamcrm.com/tickets/53799171-8a45-4e05-b798-3bf832db3bd0"/>
    <s v="Aravind Eye Hospital Salem New Salem Pachette 4 PMS "/>
  </r>
  <r>
    <n v="51919"/>
    <s v="Scheduled"/>
    <d v="2026-10-31T00:00:00"/>
    <s v="AGARWAL EYE HOSPITAL"/>
    <s v="SALEM"/>
    <s v="EX500"/>
    <s v="1016-4-1112"/>
    <s v="PMS"/>
    <x v="14"/>
    <s v="0434947e-5111-4345-9e8e-cd3a886932eb"/>
    <s v="Jinson P J"/>
    <s v="This week"/>
    <s v="1016-4-1112"/>
    <d v="2026-04-22T00:00:00"/>
    <d v="2025-10-15T00:00:00"/>
    <d v="2025-03-07T00:00:00"/>
    <d v="2024-07-25T00:00:00"/>
    <s v="https://mhmpl.sangamcrm.com/tickets/0434947e-5111-4345-9e8e-cd3a886932eb"/>
    <s v="AGARWAL EYE HOSPITAL SALEM EX500 PMS "/>
  </r>
  <r>
    <n v="29314"/>
    <s v="Assigned"/>
    <d v="2026-10-31T00:00:00"/>
    <s v="LOTUS EYE HOSPITAL &amp; EYE INSTITUTE"/>
    <s v="SALEM"/>
    <s v="HS-2522SD"/>
    <s v="MS030022"/>
    <s v="PMS"/>
    <x v="3"/>
    <s v="686e526b-0825-4b31-92ee-2b3bd605380f"/>
    <s v="Jinson P J"/>
    <s v="This week"/>
    <s v="MS030022"/>
    <d v="2026-06-29T00:00:00"/>
    <d v="2025-11-06T00:00:00"/>
    <d v="2025-09-27T00:00:00"/>
    <d v="2024-10-24T00:00:00"/>
    <s v="https://mhmpl.sangamcrm.com/tickets/686e526b-0825-4b31-92ee-2b3bd605380f"/>
    <s v="LOTUS EYE HOSPITAL &amp; EYE INSTITUTE SALEM HS-2522SD PMS "/>
  </r>
  <r>
    <n v="56610"/>
    <s v="In Process"/>
    <d v="2026-10-21T00:00:00"/>
    <s v="MILITARY HOSPITAL - SECUNDERABAD"/>
    <s v="Secunderabad"/>
    <s v="SIRIUS+"/>
    <s v="21051109"/>
    <s v="Service"/>
    <x v="19"/>
    <s v="2b17e4b1-9f6a-4409-a237-ecd596560ca3"/>
    <s v="Bibin Vijayan"/>
    <s v="Overdue"/>
    <s v="21051109"/>
    <d v="2026-10-07T00:00:00"/>
    <d v="2026-07-04T00:00:00"/>
    <d v="2026-03-24T00:00:00"/>
    <d v="2026-01-09T00:00:00"/>
    <s v="https://mhmpl.sangamcrm.com/tickets/2b17e4b1-9f6a-4409-a237-ecd596560ca3"/>
    <s v="MILITARY HOSPITAL - SECUNDERABAD Secunderabad SIRIUS+ Service "/>
  </r>
  <r>
    <n v="49636"/>
    <s v="Assigned"/>
    <d v="2026-10-31T00:00:00"/>
    <s v="Sankara eye hospital shimoga town"/>
    <s v="SHIMOGA"/>
    <s v="Antares+"/>
    <s v="24040835"/>
    <s v="PMS"/>
    <x v="6"/>
    <s v="8a696302-e50f-499b-b24c-510a352644df"/>
    <s v="Manu Mohan"/>
    <s v="This week"/>
    <s v="24040835"/>
    <d v="2026-02-10T00:00:00"/>
    <d v="2025-09-08T00:00:00"/>
    <m/>
    <m/>
    <s v="https://mhmpl.sangamcrm.com/tickets/8a696302-e50f-499b-b24c-510a352644df"/>
    <s v="Sankara eye hospital shimoga town SHIMOGA Antares+ PMS "/>
  </r>
  <r>
    <n v="49354"/>
    <s v="Assigned"/>
    <d v="2026-10-31T00:00:00"/>
    <s v="SANKARA EYE HOSPITAL shimoga"/>
    <s v="SHIMOGA"/>
    <s v="SIRIUS"/>
    <s v="18053127"/>
    <s v="PMS"/>
    <x v="6"/>
    <s v="ff4ac684-f24e-449b-92e6-148e368fd0d4"/>
    <s v="Manu Mohan"/>
    <s v="This week"/>
    <s v="18053127"/>
    <d v="2026-02-06T00:00:00"/>
    <d v="2025-09-08T00:00:00"/>
    <d v="2025-01-29T00:00:00"/>
    <d v="2024-11-26T00:00:00"/>
    <s v="https://mhmpl.sangamcrm.com/tickets/ff4ac684-f24e-449b-92e6-148e368fd0d4"/>
    <s v="SANKARA EYE HOSPITAL shimoga SHIMOGA SIRIUS PMS "/>
  </r>
  <r>
    <n v="49329"/>
    <s v="Assigned"/>
    <d v="2026-10-31T00:00:00"/>
    <s v="SANKARA EYE HOSPITAL shimoga"/>
    <s v="SHIMOGA"/>
    <s v="HS-2321BD"/>
    <s v="MT080016"/>
    <s v="PMS"/>
    <x v="6"/>
    <s v="80b1f6c9-282a-454b-874c-4e68658034ce"/>
    <s v="Manu Mohan"/>
    <s v="This week"/>
    <s v="MT080016"/>
    <d v="2025-01-29T00:00:00"/>
    <d v="2024-11-26T00:00:00"/>
    <d v="2024-02-09T00:00:00"/>
    <d v="2023-09-18T00:00:00"/>
    <s v="https://mhmpl.sangamcrm.com/tickets/80b1f6c9-282a-454b-874c-4e68658034ce"/>
    <s v="SANKARA EYE HOSPITAL shimoga SHIMOGA HS-2321BD PMS "/>
  </r>
  <r>
    <n v="49297"/>
    <s v="Assigned"/>
    <d v="2026-10-31T00:00:00"/>
    <s v="SANKARA EYE HOSPITAL shimoga"/>
    <s v="SHIMOGA"/>
    <s v="EVOLUTION 3E"/>
    <s v="5656"/>
    <s v="PMS"/>
    <x v="6"/>
    <s v="331ab9f1-773d-49b8-9d9b-5515eebc0c44"/>
    <s v="Manu Mohan"/>
    <s v="This week"/>
    <s v="5656"/>
    <d v="2026-02-06T00:00:00"/>
    <d v="2025-09-08T00:00:00"/>
    <d v="2025-01-29T00:00:00"/>
    <d v="2024-11-26T00:00:00"/>
    <s v="https://mhmpl.sangamcrm.com/tickets/331ab9f1-773d-49b8-9d9b-5515eebc0c44"/>
    <s v="SANKARA EYE HOSPITAL shimoga SHIMOGA EVOLUTION 3E PMS "/>
  </r>
  <r>
    <n v="49638"/>
    <s v="Assigned"/>
    <d v="2026-10-31T00:00:00"/>
    <s v="SANKARA EYE HOSPITAL shimoga"/>
    <s v="SHIMOGA"/>
    <s v="SP-3000"/>
    <s v="858108"/>
    <s v="PMS"/>
    <x v="6"/>
    <s v="c2360074-ea49-47ad-826f-03967795e922"/>
    <s v="Manu Mohan"/>
    <s v="This week"/>
    <s v="858108"/>
    <d v="2025-09-08T00:00:00"/>
    <d v="2024-11-26T00:00:00"/>
    <d v="2024-03-08T00:00:00"/>
    <d v="2023-09-18T00:00:00"/>
    <s v="https://mhmpl.sangamcrm.com/tickets/c2360074-ea49-47ad-826f-03967795e922"/>
    <s v="SANKARA EYE HOSPITAL shimoga SHIMOGA SP-3000 PMS "/>
  </r>
  <r>
    <n v="50031"/>
    <s v="Assigned"/>
    <d v="2026-10-31T00:00:00"/>
    <s v="Sapthagiri Eye Hospital"/>
    <s v="Sindhanur"/>
    <s v="REVO FC"/>
    <s v="1905931/X"/>
    <s v="PMS"/>
    <x v="7"/>
    <s v="febe8b67-3fd8-4558-8690-5cff994a7a69"/>
    <s v="Manu Mohan"/>
    <s v="This week"/>
    <s v="1905931/X"/>
    <d v="2026-06-17T00:00:00"/>
    <d v="2026-03-07T00:00:00"/>
    <d v="2025-07-05T00:00:00"/>
    <d v="2024-11-26T00:00:00"/>
    <s v="https://mhmpl.sangamcrm.com/tickets/febe8b67-3fd8-4558-8690-5cff994a7a69"/>
    <s v="Sapthagiri Eye Hospital Sindhanur REVO FC PMS "/>
  </r>
  <r>
    <n v="43138"/>
    <s v="Assigned"/>
    <d v="2026-10-31T00:00:00"/>
    <s v="COMTRUST EYE HOSPITAL"/>
    <s v="Thalassery"/>
    <s v="EM-4000"/>
    <s v="411103"/>
    <s v="PMS"/>
    <x v="8"/>
    <s v="ff12b402-cf2a-4132-a5db-f8d0e2a2c7d3"/>
    <s v="Rejish Baby"/>
    <s v="This week"/>
    <s v="411103"/>
    <d v="2026-06-15T00:00:00"/>
    <d v="2025-10-17T00:00:00"/>
    <d v="2025-04-23T00:00:00"/>
    <m/>
    <s v="https://mhmpl.sangamcrm.com/tickets/ff12b402-cf2a-4132-a5db-f8d0e2a2c7d3"/>
    <s v="COMTRUST EYE HOSPITAL Thalassery EM-4000 PMS "/>
  </r>
  <r>
    <n v="50696"/>
    <s v="Assigned"/>
    <d v="2026-11-30T00:00:00"/>
    <s v="DR. AGARWAL'S HEALTH CARE LIMITED"/>
    <s v="THENI"/>
    <s v="Pachette 4"/>
    <s v="1906"/>
    <s v="PMS"/>
    <x v="3"/>
    <s v="257a8eef-8799-40aa-a01b-223a65916f20"/>
    <s v="Jinson P J"/>
    <s v="Next 30 days"/>
    <s v="1906"/>
    <m/>
    <m/>
    <m/>
    <m/>
    <s v="https://mhmpl.sangamcrm.com/tickets/257a8eef-8799-40aa-a01b-223a65916f20"/>
    <s v="DR. AGARWAL'S HEALTH CARE LIMITED THENI Pachette 4 PMS "/>
  </r>
  <r>
    <n v="50693"/>
    <s v="Assigned"/>
    <d v="2026-11-30T00:00:00"/>
    <s v="DR. AGARWAL'S HEALTH CARE LIMITED"/>
    <s v="THENI"/>
    <s v="TMS-4N"/>
    <s v="572308"/>
    <s v="PMS"/>
    <x v="3"/>
    <s v="cbd724b7-b496-4784-a561-ada2012697e9"/>
    <s v="Jinson P J"/>
    <s v="Next 30 days"/>
    <s v="572308"/>
    <m/>
    <m/>
    <m/>
    <m/>
    <s v="https://mhmpl.sangamcrm.com/tickets/cbd724b7-b496-4784-a561-ada2012697e9"/>
    <s v="DR. AGARWAL'S HEALTH CARE LIMITED THENI TMS-4N PMS "/>
  </r>
  <r>
    <n v="50807"/>
    <s v="Assigned"/>
    <d v="2026-10-31T00:00:00"/>
    <s v="EYE MICROSURGERY AND LASER CENTRE"/>
    <s v="Thiruvalla"/>
    <s v="IDRA FULL"/>
    <s v="I20250124"/>
    <s v="PMS"/>
    <x v="0"/>
    <s v="c2bd5de7-0be3-4e47-9371-acbcd6b6d79c"/>
    <s v="Rejish Baby"/>
    <s v="This week"/>
    <s v="I20250124"/>
    <d v="2026-07-07T00:00:00"/>
    <m/>
    <m/>
    <m/>
    <s v="https://mhmpl.sangamcrm.com/tickets/c2bd5de7-0be3-4e47-9371-acbcd6b6d79c"/>
    <s v="EYE MICROSURGERY AND LASER CENTRE Thiruvalla IDRA FULL PMS "/>
  </r>
  <r>
    <n v="55564"/>
    <s v="Pending from Customer end"/>
    <d v="2026-09-23T00:00:00"/>
    <s v="CHAITHANYA EYE HOSPITAL &amp; RESEARCH CENTRE"/>
    <s v="THIRUVALLA"/>
    <s v="SIRIUS+"/>
    <s v="23031661"/>
    <s v="Service"/>
    <x v="8"/>
    <s v="3de0ec05-c3a1-4d34-ae83-ff5a31252cf9"/>
    <s v="Rejish Baby"/>
    <s v="Overdue"/>
    <s v="23031661"/>
    <d v="2026-07-03T00:00:00"/>
    <d v="2025-11-04T00:00:00"/>
    <d v="2025-04-23T00:00:00"/>
    <d v="2024-11-25T00:00:00"/>
    <s v="https://mhmpl.sangamcrm.com/tickets/3de0ec05-c3a1-4d34-ae83-ff5a31252cf9"/>
    <s v="CHAITHANYA EYE HOSPITAL &amp; RESEARCH CENTRE THIRUVALLA SIRIUS+ Service "/>
  </r>
  <r>
    <n v="55649"/>
    <s v="In Process"/>
    <d v="2026-09-28T00:00:00"/>
    <s v="Chaithanya Sight Foundation Eye Hospital"/>
    <s v="Thiruvananthapuram"/>
    <s v="DGH 6000"/>
    <s v="1499"/>
    <s v="Installation"/>
    <x v="2"/>
    <s v="542cceb6-3329-4d28-9d78-9aaec3f51ac6"/>
    <s v="Rejish Baby"/>
    <s v="Overdue"/>
    <s v="1499"/>
    <m/>
    <m/>
    <m/>
    <m/>
    <s v="https://mhmpl.sangamcrm.com/tickets/542cceb6-3329-4d28-9d78-9aaec3f51ac6"/>
    <s v="Chaithanya Sight Foundation Eye Hospital Thiruvananthapuram DGH 6000 Installation "/>
  </r>
  <r>
    <n v="18783"/>
    <s v="Assigned"/>
    <d v="2026-11-30T00:00:00"/>
    <s v="ALPHONSA EYE HOSPITAL"/>
    <s v="THODUPUZHA"/>
    <s v="REVO FC"/>
    <s v="1906462/X"/>
    <s v="PMS"/>
    <x v="2"/>
    <s v="de624130-c229-4e2a-956e-7b477a720e30"/>
    <s v="Rejish Baby"/>
    <s v="Next 30 days"/>
    <s v="1906462/X"/>
    <d v="2026-07-03T00:00:00"/>
    <d v="2025-12-17T00:00:00"/>
    <d v="2025-05-31T00:00:00"/>
    <d v="2024-11-27T00:00:00"/>
    <s v="https://mhmpl.sangamcrm.com/tickets/de624130-c229-4e2a-956e-7b477a720e30"/>
    <s v="ALPHONSA EYE HOSPITAL THODUPUZHA REVO FC PMS "/>
  </r>
  <r>
    <n v="46221"/>
    <s v="Assigned"/>
    <d v="2026-11-30T00:00:00"/>
    <s v="ALPHONSA EYE HOSPITAL"/>
    <s v="THODUPUZHA"/>
    <s v="EM-4000"/>
    <s v="222010"/>
    <s v="PMS"/>
    <x v="0"/>
    <s v="d37c83c9-0c17-4b59-a773-ed80aca3864f"/>
    <s v="Rejish Baby"/>
    <s v="Next 30 days"/>
    <s v="222010"/>
    <d v="2026-07-03T00:00:00"/>
    <d v="2025-12-17T00:00:00"/>
    <d v="2025-05-31T00:00:00"/>
    <d v="2024-12-23T00:00:00"/>
    <s v="https://mhmpl.sangamcrm.com/tickets/d37c83c9-0c17-4b59-a773-ed80aca3864f"/>
    <s v="ALPHONSA EYE HOSPITAL THODUPUZHA EM-4000 PMS "/>
  </r>
  <r>
    <n v="48149"/>
    <s v="Assigned"/>
    <d v="2026-11-30T00:00:00"/>
    <s v="ALPHONSA EYE HOSPITAL"/>
    <s v="THODUPUZHA"/>
    <s v="OA-2000"/>
    <s v="9501"/>
    <s v="PMS"/>
    <x v="0"/>
    <s v="245e2973-df51-4a9e-a2a2-01019a10e052"/>
    <s v="Rejish Baby"/>
    <s v="Next 30 days"/>
    <s v="9501"/>
    <d v="2026-07-03T00:00:00"/>
    <d v="2025-12-17T00:00:00"/>
    <d v="2025-05-31T00:00:00"/>
    <d v="2024-11-27T00:00:00"/>
    <s v="https://mhmpl.sangamcrm.com/tickets/245e2973-df51-4a9e-a2a2-01019a10e052"/>
    <s v="ALPHONSA EYE HOSPITAL THODUPUZHA OA-2000 PMS "/>
  </r>
  <r>
    <n v="46213"/>
    <s v="Assigned"/>
    <d v="2026-11-30T00:00:00"/>
    <s v="ALPHONSA EYE HOSPITAL"/>
    <s v="THODUPUZHA"/>
    <s v="HS-2522SD"/>
    <s v="MH110067"/>
    <s v="PMS"/>
    <x v="0"/>
    <s v="d87a3d3a-2900-482f-9fc8-57567603a446"/>
    <s v="Rejish Baby"/>
    <s v="Next 30 days"/>
    <s v="MH110067"/>
    <d v="2026-07-03T00:00:00"/>
    <d v="2025-12-17T00:00:00"/>
    <d v="2025-05-31T00:00:00"/>
    <d v="2024-12-23T00:00:00"/>
    <s v="https://mhmpl.sangamcrm.com/tickets/d87a3d3a-2900-482f-9fc8-57567603a446"/>
    <s v="ALPHONSA EYE HOSPITAL THODUPUZHA HS-2522SD PMS "/>
  </r>
  <r>
    <n v="51310"/>
    <s v="Assigned"/>
    <d v="2026-10-31T00:00:00"/>
    <s v="I VISION EYE HOSPITAL"/>
    <s v="Thrissur"/>
    <s v="TMS-4N"/>
    <s v="419902"/>
    <s v="PMS"/>
    <x v="8"/>
    <s v="5446cfff-b794-404b-9bd1-3e888fbb5e6e"/>
    <s v="Rejish Baby"/>
    <s v="This week"/>
    <s v="419902"/>
    <d v="2026-06-29T00:00:00"/>
    <d v="2025-10-07T00:00:00"/>
    <d v="2025-02-18T00:00:00"/>
    <d v="2024-09-30T00:00:00"/>
    <s v="https://mhmpl.sangamcrm.com/tickets/5446cfff-b794-404b-9bd1-3e888fbb5e6e"/>
    <s v="I VISION EYE HOSPITAL Thrissur TMS-4N PMS "/>
  </r>
  <r>
    <n v="44869"/>
    <s v="Assigned"/>
    <d v="2026-11-30T00:00:00"/>
    <s v="AARYA EYE CARE"/>
    <s v="THRISSUR"/>
    <s v="EM-4000"/>
    <s v="375408"/>
    <s v="PMS"/>
    <x v="8"/>
    <s v="3d9fe51a-7fe3-4125-8650-90541403b02d"/>
    <s v="Rejish Baby"/>
    <s v="Next 30 days"/>
    <s v="375408"/>
    <d v="2026-07-07T00:00:00"/>
    <d v="2025-11-13T00:00:00"/>
    <d v="2025-05-28T00:00:00"/>
    <d v="2024-12-07T00:00:00"/>
    <s v="https://mhmpl.sangamcrm.com/tickets/3d9fe51a-7fe3-4125-8650-90541403b02d"/>
    <s v="AARYA EYE CARE THRISSUR EM-4000 PMS "/>
  </r>
  <r>
    <n v="44871"/>
    <s v="Assigned"/>
    <d v="2026-11-30T00:00:00"/>
    <s v="AARYA EYE CARE"/>
    <s v="THRISSUR"/>
    <s v="PTS 2000"/>
    <s v="7701223/X"/>
    <s v="PMS"/>
    <x v="8"/>
    <s v="1903ce76-9c30-4eb3-830f-35c2b01378b6"/>
    <s v="Rejish Baby"/>
    <s v="Next 30 days"/>
    <s v="7701223/X"/>
    <d v="2026-07-07T00:00:00"/>
    <d v="2025-11-13T00:00:00"/>
    <d v="2025-05-26T00:00:00"/>
    <d v="2024-12-07T00:00:00"/>
    <s v="https://mhmpl.sangamcrm.com/tickets/1903ce76-9c30-4eb3-830f-35c2b01378b6"/>
    <s v="AARYA EYE CARE THRISSUR PTS 2000 PMS "/>
  </r>
  <r>
    <n v="44873"/>
    <s v="Assigned"/>
    <d v="2026-11-30T00:00:00"/>
    <s v="AARYA EYE CARE"/>
    <s v="THRISSUR"/>
    <s v="REVO 60"/>
    <s v="1910809/X"/>
    <s v="PMS"/>
    <x v="8"/>
    <s v="ca368eb3-a7d3-4054-a979-19aa6484ad17"/>
    <s v="Rejish Baby"/>
    <s v="Next 30 days"/>
    <s v="1910809/X"/>
    <d v="2026-06-10T00:00:00"/>
    <d v="2025-12-16T00:00:00"/>
    <d v="2025-05-03T00:00:00"/>
    <d v="2024-11-19T00:00:00"/>
    <s v="https://mhmpl.sangamcrm.com/tickets/ca368eb3-a7d3-4054-a979-19aa6484ad17"/>
    <s v="AARYA EYE CARE THRISSUR REVO 60 PMS "/>
  </r>
  <r>
    <n v="44875"/>
    <s v="Assigned"/>
    <d v="2026-11-30T00:00:00"/>
    <s v="AARYA EYE CARE"/>
    <s v="THRISSUR"/>
    <s v="OA-2000"/>
    <s v="464A32122"/>
    <s v="PMS"/>
    <x v="8"/>
    <s v="139f9108-0f51-43ef-a193-765323663eb2"/>
    <s v="Rejish Baby"/>
    <s v="Next 30 days"/>
    <s v="464A32122"/>
    <d v="2026-06-05T00:00:00"/>
    <d v="2025-10-30T00:00:00"/>
    <d v="2025-05-27T00:00:00"/>
    <d v="2024-10-08T00:00:00"/>
    <s v="https://mhmpl.sangamcrm.com/tickets/139f9108-0f51-43ef-a193-765323663eb2"/>
    <s v="AARYA EYE CARE THRISSUR OA-2000 PMS "/>
  </r>
  <r>
    <n v="56665"/>
    <s v="In Process"/>
    <d v="2026-10-22T00:00:00"/>
    <s v="AARYA EYE CARE"/>
    <s v="THRISSUR"/>
    <s v="REVO FC"/>
    <s v="1900393/V"/>
    <s v="Service"/>
    <x v="0"/>
    <s v="461ebb71-ae4b-47b0-a8a5-34ebce15bb17"/>
    <s v="Rejish Baby"/>
    <s v="Overdue"/>
    <s v="1900393/V"/>
    <d v="2026-07-07T00:00:00"/>
    <d v="2025-12-16T00:00:00"/>
    <d v="2025-05-26T00:00:00"/>
    <d v="2024-12-07T00:00:00"/>
    <s v="https://mhmpl.sangamcrm.com/tickets/461ebb71-ae4b-47b0-a8a5-34ebce15bb17"/>
    <s v="AARYA EYE CARE THRISSUR REVO FC Service "/>
  </r>
  <r>
    <n v="52334"/>
    <s v="Assigned"/>
    <d v="2026-11-30T00:00:00"/>
    <s v="DR. RANI MENON EYE CLINIC (A unit of Maxivision Group)"/>
    <s v="THRISSUR"/>
    <s v="EX500"/>
    <s v="1016-2-385"/>
    <s v="PMS"/>
    <x v="2"/>
    <s v="4f80beae-5178-47a2-aa4a-1026d96578ec"/>
    <s v="Rejish Baby"/>
    <s v="Next 30 days"/>
    <s v="1016-2-385"/>
    <d v="2026-05-18T00:00:00"/>
    <d v="2025-11-21T00:00:00"/>
    <d v="2025-05-16T00:00:00"/>
    <d v="2024-11-27T00:00:00"/>
    <s v="https://mhmpl.sangamcrm.com/tickets/4f80beae-5178-47a2-aa4a-1026d96578ec"/>
    <s v="DR. RANI MENON EYE CLINIC (A unit of Maxivision Group) THRISSUR EX500 PMS "/>
  </r>
  <r>
    <n v="46598"/>
    <s v="Assigned"/>
    <d v="2026-10-17T00:00:00"/>
    <s v="THE EYE FOUNDATION"/>
    <s v="TIRUNELVELI"/>
    <s v="REVO FC"/>
    <s v="1900489/V"/>
    <s v="PMS,Upgrade"/>
    <x v="14"/>
    <s v="67bda074-a43c-4ec2-9a80-ee50b7e510ac"/>
    <s v="Jinson P J"/>
    <s v="Overdue"/>
    <s v="1900489/V"/>
    <d v="2026-05-21T00:00:00"/>
    <d v="2025-07-09T00:00:00"/>
    <d v="2025-01-08T00:00:00"/>
    <d v="2024-12-05T00:00:00"/>
    <s v="https://mhmpl.sangamcrm.com/tickets/67bda074-a43c-4ec2-9a80-ee50b7e510ac"/>
    <s v="THE EYE FOUNDATION TIRUNELVELI REVO FC PMS,Upgrade "/>
  </r>
  <r>
    <n v="47402"/>
    <s v="Assigned"/>
    <d v="2026-10-17T00:00:00"/>
    <s v="THE EYE FOUNDATION"/>
    <s v="TIRUNELVELI"/>
    <s v="HS-2522BL"/>
    <s v="OM060001"/>
    <s v="PMS"/>
    <x v="14"/>
    <s v="72a26857-2a40-4419-8a46-0616c7240b89"/>
    <s v="Jinson P J"/>
    <s v="Overdue"/>
    <s v="OM060001"/>
    <d v="2026-05-21T00:00:00"/>
    <d v="2025-07-09T00:00:00"/>
    <d v="2024-12-05T00:00:00"/>
    <d v="2024-08-23T00:00:00"/>
    <s v="https://mhmpl.sangamcrm.com/tickets/72a26857-2a40-4419-8a46-0616c7240b89"/>
    <s v="THE EYE FOUNDATION TIRUNELVELI HS-2522BL PMS "/>
  </r>
  <r>
    <n v="31901"/>
    <s v="Assigned"/>
    <d v="2026-11-30T00:00:00"/>
    <s v="NAVYA NETRALAYA"/>
    <s v="TIRUPATI"/>
    <s v="OA-2000"/>
    <s v="516A10132"/>
    <s v="PMS"/>
    <x v="13"/>
    <s v="eb9c0bed-e067-4126-8d81-672cccdceda7"/>
    <s v="Motty C Das"/>
    <s v="Next 30 days"/>
    <s v="516A10132"/>
    <d v="2026-07-02T00:00:00"/>
    <d v="2025-10-09T00:00:00"/>
    <d v="2025-06-16T00:00:00"/>
    <d v="2025-01-04T00:00:00"/>
    <s v="https://mhmpl.sangamcrm.com/tickets/eb9c0bed-e067-4126-8d81-672cccdceda7"/>
    <s v="NAVYA NETRALAYA TIRUPATI OA-2000 PMS "/>
  </r>
  <r>
    <n v="57081"/>
    <s v="In Process"/>
    <d v="2026-10-30T00:00:00"/>
    <s v="SV.ARAVIND EYE HOSPITAL"/>
    <s v="TIRUPATI"/>
    <s v="EX500"/>
    <s v="1016-4-1022"/>
    <s v="Surgery support"/>
    <x v="13"/>
    <s v="e67ee722-f563-4303-a7b6-0bf8ed0c0966"/>
    <s v="Motty C Das"/>
    <s v="Overdue"/>
    <s v="1016-4-1022"/>
    <d v="2026-10-29T00:00:00"/>
    <d v="2026-05-27T00:00:00"/>
    <d v="2025-06-26T00:00:00"/>
    <d v="2025-01-04T00:00:00"/>
    <s v="https://mhmpl.sangamcrm.com/tickets/e67ee722-f563-4303-a7b6-0bf8ed0c0966"/>
    <s v="SV.ARAVIND EYE HOSPITAL TIRUPATI EX500 Surgery support "/>
  </r>
  <r>
    <n v="52261"/>
    <s v="Scheduled"/>
    <d v="2026-10-31T00:00:00"/>
    <s v="THE EYE FOUNDATION"/>
    <s v="TIRUPPUR"/>
    <s v="EX500"/>
    <s v="1016-2-1083"/>
    <s v="PMS"/>
    <x v="14"/>
    <s v="60310609-055f-4bdb-8288-4a748c92dc93"/>
    <s v="Jinson P J"/>
    <s v="This week"/>
    <s v="1016-2-1083"/>
    <d v="2026-05-14T00:00:00"/>
    <d v="2026-04-22T00:00:00"/>
    <d v="2025-11-03T00:00:00"/>
    <d v="2025-06-10T00:00:00"/>
    <s v="https://mhmpl.sangamcrm.com/tickets/60310609-055f-4bdb-8288-4a748c92dc93"/>
    <s v="THE EYE FOUNDATION TIRUPPUR EX500 PMS "/>
  </r>
  <r>
    <n v="47301"/>
    <s v="Pending from Customer end"/>
    <d v="2026-08-31T00:00:00"/>
    <s v="Vels Medical College and Hospital"/>
    <s v="Tiruvallur"/>
    <s v="PTS 2000"/>
    <s v="7701818/Z"/>
    <s v="PMS,Service"/>
    <x v="9"/>
    <s v="90237cdb-20bf-44fe-a073-3a74f4d12dc6"/>
    <s v="Manivannan D"/>
    <s v="Overdue"/>
    <s v="7701818/Z"/>
    <d v="2026-02-12T00:00:00"/>
    <d v="2025-09-18T00:00:00"/>
    <m/>
    <m/>
    <s v="https://mhmpl.sangamcrm.com/tickets/90237cdb-20bf-44fe-a073-3a74f4d12dc6"/>
    <s v="Vels Medical College and Hospital Tiruvallur PTS 2000 PMS,Service "/>
  </r>
  <r>
    <n v="55114"/>
    <s v="Escalated to Parent Company"/>
    <d v="2026-09-19T00:00:00"/>
    <s v="The eye foundation"/>
    <s v="Trichy"/>
    <s v="REVO FC"/>
    <s v="1900289/U"/>
    <s v="Service"/>
    <x v="17"/>
    <s v="d535b3f3-2c54-4166-b017-bbc7606bace5"/>
    <s v="Jinson P J"/>
    <s v="Overdue"/>
    <s v="1900289/U"/>
    <d v="2026-09-07T00:00:00"/>
    <d v="2026-05-13T00:00:00"/>
    <d v="2026-04-30T00:00:00"/>
    <d v="2025-10-09T00:00:00"/>
    <s v="https://mhmpl.sangamcrm.com/tickets/d535b3f3-2c54-4166-b017-bbc7606bace5"/>
    <s v="The eye foundation Trichy REVO FC Service "/>
  </r>
  <r>
    <n v="52336"/>
    <s v="Assigned"/>
    <d v="2026-09-29T00:00:00"/>
    <s v="AGARWAL EYE HOSPITAL,TRICHY"/>
    <s v="TRICHY"/>
    <s v="EX500"/>
    <s v="1016-4-3011"/>
    <s v="PMS,Service"/>
    <x v="14"/>
    <s v="486495bd-deb1-4c3a-9c0f-a9a96fd68f9c"/>
    <s v="Jinson P J"/>
    <s v="Overdue"/>
    <s v="1016-4-3011"/>
    <d v="2026-03-19T00:00:00"/>
    <d v="2025-09-18T00:00:00"/>
    <d v="2025-05-16T00:00:00"/>
    <d v="2024-10-24T00:00:00"/>
    <s v="https://mhmpl.sangamcrm.com/tickets/486495bd-deb1-4c3a-9c0f-a9a96fd68f9c"/>
    <s v="AGARWAL EYE HOSPITAL,TRICHY TRICHY EX500 PMS,Service "/>
  </r>
  <r>
    <n v="38949"/>
    <s v="Part Pending"/>
    <d v="2025-08-12T00:00:00"/>
    <s v="JOSEPH EYE HOSPITAL"/>
    <s v="TRICHY"/>
    <s v="EVOLUTION 3"/>
    <s v="8531"/>
    <s v="Service"/>
    <x v="14"/>
    <s v="1e1c1d4b-f922-4ab6-bc01-9b6a391c5cfa"/>
    <s v="Jinson P J"/>
    <s v="Overdue"/>
    <s v="8531"/>
    <d v="2026-08-26T00:00:00"/>
    <d v="2026-03-25T00:00:00"/>
    <d v="2026-02-06T00:00:00"/>
    <d v="2025-08-29T00:00:00"/>
    <s v="https://mhmpl.sangamcrm.com/tickets/1e1c1d4b-f922-4ab6-bc01-9b6a391c5cfa"/>
    <s v="JOSEPH EYE HOSPITAL TRICHY EVOLUTION 3 Service "/>
  </r>
  <r>
    <n v="50078"/>
    <s v="Assigned"/>
    <d v="2026-10-31T00:00:00"/>
    <s v="CHAITHANYA EYE HOSPITAL &amp; RESEARCH CENTRE"/>
    <s v="TRIPUNITHURA"/>
    <s v="PTS 2000"/>
    <s v="7700887/W"/>
    <s v="PMS"/>
    <x v="0"/>
    <s v="329b51d0-bf3d-4104-a35e-ba173ae99d4e"/>
    <s v="Rejish Baby"/>
    <s v="This week"/>
    <s v="7700887/W"/>
    <d v="2026-05-08T00:00:00"/>
    <d v="2025-09-12T00:00:00"/>
    <d v="2024-10-23T00:00:00"/>
    <d v="2024-06-11T00:00:00"/>
    <s v="https://mhmpl.sangamcrm.com/tickets/329b51d0-bf3d-4104-a35e-ba173ae99d4e"/>
    <s v="CHAITHANYA EYE HOSPITAL &amp; RESEARCH CENTRE TRIPUNITHURA PTS 2000 PMS "/>
  </r>
  <r>
    <n v="51823"/>
    <s v="Assigned"/>
    <d v="2026-11-30T00:00:00"/>
    <s v="DR AGARWALS EYE HOSPITALS-KAZHAKKOOTAM"/>
    <s v="TRIVANDRUM"/>
    <s v="Pachette 4"/>
    <s v="1895"/>
    <s v="PMS"/>
    <x v="8"/>
    <s v="a37a9fb4-02c4-4f7b-854a-85199960bc26"/>
    <s v="Rejish Baby"/>
    <s v="Next 30 days"/>
    <s v="1895"/>
    <m/>
    <m/>
    <m/>
    <m/>
    <s v="https://mhmpl.sangamcrm.com/tickets/a37a9fb4-02c4-4f7b-854a-85199960bc26"/>
    <s v="DR AGARWALS EYE HOSPITALS-KAZHAKKOOTAM TRIVANDRUM Pachette 4 PMS "/>
  </r>
  <r>
    <n v="51821"/>
    <s v="Assigned"/>
    <d v="2026-11-30T00:00:00"/>
    <s v="DR AGARWALS EYE HOSPITALS-KAZHAKKOOTAM"/>
    <s v="TRIVANDRUM"/>
    <s v="TMS-4N"/>
    <s v="685002"/>
    <s v="PMS"/>
    <x v="8"/>
    <s v="cf8cf98d-c2fc-461e-a4d2-89d3fb840093"/>
    <s v="Rejish Baby"/>
    <s v="Next 30 days"/>
    <s v="685002"/>
    <m/>
    <m/>
    <m/>
    <m/>
    <s v="https://mhmpl.sangamcrm.com/tickets/cf8cf98d-c2fc-461e-a4d2-89d3fb840093"/>
    <s v="DR AGARWALS EYE HOSPITALS-KAZHAKKOOTAM TRIVANDRUM TMS-4N PMS "/>
  </r>
  <r>
    <n v="51414"/>
    <s v="Assigned"/>
    <d v="2026-11-30T00:00:00"/>
    <s v="Divya Prabha Eye Hospital"/>
    <s v="Trivandrum"/>
    <s v="REVO FC"/>
    <s v="1907350/Z"/>
    <s v="PMS"/>
    <x v="0"/>
    <s v="14033b48-3f3d-494f-afed-ad5d1218effe"/>
    <s v="Rejish Baby"/>
    <s v="Next 30 days"/>
    <s v="1907350/Z"/>
    <d v="2026-04-02T00:00:00"/>
    <d v="2025-11-19T00:00:00"/>
    <m/>
    <m/>
    <s v="https://mhmpl.sangamcrm.com/tickets/14033b48-3f3d-494f-afed-ad5d1218effe"/>
    <s v="Divya Prabha Eye Hospital Trivandrum REVO FC PMS "/>
  </r>
  <r>
    <n v="48058"/>
    <s v="Assigned"/>
    <d v="2026-10-31T00:00:00"/>
    <s v="PRS HOSPITAL PRIVATE LIMITED"/>
    <s v="TRIVANDRUM"/>
    <s v="PTS 2000"/>
    <s v="7701830/Z"/>
    <s v="PMS"/>
    <x v="0"/>
    <s v="79b489af-c705-4d45-908f-53da0f2c57dc"/>
    <s v="Rejish Baby"/>
    <s v="This week"/>
    <s v="7701830/Z"/>
    <d v="2026-03-06T00:00:00"/>
    <d v="2025-09-16T00:00:00"/>
    <m/>
    <m/>
    <s v="https://mhmpl.sangamcrm.com/tickets/79b489af-c705-4d45-908f-53da0f2c57dc"/>
    <s v="PRS HOSPITAL PRIVATE LIMITED TRIVANDRUM PTS 2000 PMS "/>
  </r>
  <r>
    <n v="48062"/>
    <s v="Assigned"/>
    <d v="2026-10-31T00:00:00"/>
    <s v="PRS HOSPITAL PRIVATE LIMITED"/>
    <s v="TRIVANDRUM"/>
    <s v="REVO FC"/>
    <s v="1907358/Z"/>
    <s v="PMS"/>
    <x v="0"/>
    <s v="51c9e87f-7846-4b63-ab88-81d711d4170f"/>
    <s v="Rejish Baby"/>
    <s v="This week"/>
    <s v="1907358/Z"/>
    <d v="2026-03-06T00:00:00"/>
    <d v="2025-09-16T00:00:00"/>
    <m/>
    <m/>
    <s v="https://mhmpl.sangamcrm.com/tickets/51c9e87f-7846-4b63-ab88-81d711d4170f"/>
    <s v="PRS HOSPITAL PRIVATE LIMITED TRIVANDRUM REVO FC PMS "/>
  </r>
  <r>
    <n v="51175"/>
    <s v="Assigned"/>
    <d v="2026-11-30T00:00:00"/>
    <s v="DEVAPRASAD EYE HOSPITALS"/>
    <s v="Trivandrum"/>
    <s v="REVO 60"/>
    <s v="1910963/Y"/>
    <s v="PMS"/>
    <x v="0"/>
    <s v="d74cdbc9-e24c-4993-b815-7fcd4ea2170a"/>
    <s v="Rejish Baby"/>
    <s v="Next 30 days"/>
    <s v="1910963/Y"/>
    <d v="2026-05-06T00:00:00"/>
    <d v="2025-10-16T00:00:00"/>
    <d v="2025-06-04T00:00:00"/>
    <d v="2024-12-09T00:00:00"/>
    <s v="https://mhmpl.sangamcrm.com/tickets/d74cdbc9-e24c-4993-b815-7fcd4ea2170a"/>
    <s v="DEVAPRASAD EYE HOSPITALS Trivandrum REVO 60 PMS "/>
  </r>
  <r>
    <n v="47867"/>
    <s v="Assigned"/>
    <d v="2026-10-31T00:00:00"/>
    <s v="KIMSHEALTH HOSPITAL"/>
    <s v="TRIVANDRUM"/>
    <s v="PTS 2000"/>
    <s v="7700774/W"/>
    <s v="PMS"/>
    <x v="0"/>
    <s v="d2c04bc8-8281-4e4e-95de-809e70efb072"/>
    <s v="Rejish Baby"/>
    <s v="This week"/>
    <s v="7700774/W"/>
    <d v="2026-04-02T00:00:00"/>
    <d v="2025-09-18T00:00:00"/>
    <d v="2025-02-12T00:00:00"/>
    <d v="2024-06-07T00:00:00"/>
    <s v="https://mhmpl.sangamcrm.com/tickets/d2c04bc8-8281-4e4e-95de-809e70efb072"/>
    <s v="KIMSHEALTH HOSPITAL TRIVANDRUM PTS 2000 PMS "/>
  </r>
  <r>
    <n v="42489"/>
    <s v="Assigned"/>
    <d v="2026-10-31T00:00:00"/>
    <s v="CHAITHANYA LASIK CENTRE"/>
    <s v="TRIVANDRUM"/>
    <s v="RC-800"/>
    <s v="55211"/>
    <s v="PMS"/>
    <x v="0"/>
    <s v="8f2543b9-cece-41e5-ac86-2e5e7701ff19"/>
    <s v="Rejish Baby"/>
    <s v="This week"/>
    <s v="55211"/>
    <d v="2026-06-08T00:00:00"/>
    <d v="2025-11-24T00:00:00"/>
    <d v="2025-05-03T00:00:00"/>
    <d v="2024-11-11T00:00:00"/>
    <s v="https://mhmpl.sangamcrm.com/tickets/8f2543b9-cece-41e5-ac86-2e5e7701ff19"/>
    <s v="CHAITHANYA LASIK CENTRE TRIVANDRUM RC-800 PMS "/>
  </r>
  <r>
    <n v="50074"/>
    <s v="Assigned"/>
    <d v="2026-10-31T00:00:00"/>
    <s v="CHAITHANYA EYE HOSPITAL &amp; RESEARCH CENTRE"/>
    <s v="Trivandrum"/>
    <s v="IDRA FULL"/>
    <s v="I20190065"/>
    <s v="PMS"/>
    <x v="0"/>
    <s v="fb1be8fb-e7e5-4f5a-9ce5-6e2145239632"/>
    <s v="Rejish Baby"/>
    <s v="This week"/>
    <s v="I20190065"/>
    <d v="2025-12-03T00:00:00"/>
    <d v="2025-07-21T00:00:00"/>
    <d v="2025-05-09T00:00:00"/>
    <d v="2024-11-15T00:00:00"/>
    <s v="https://mhmpl.sangamcrm.com/tickets/fb1be8fb-e7e5-4f5a-9ce5-6e2145239632"/>
    <s v="CHAITHANYA EYE HOSPITAL &amp; RESEARCH CENTRE Trivandrum IDRA FULL PMS "/>
  </r>
  <r>
    <n v="42485"/>
    <s v="Assigned"/>
    <d v="2026-10-31T00:00:00"/>
    <s v="CHAITHANYA LASIK CENTRE"/>
    <s v="TRIVANDRUM"/>
    <s v="HS-1607SD"/>
    <s v="MS050033"/>
    <s v="PMS"/>
    <x v="0"/>
    <s v="9cbc3d4b-5b61-4372-aa23-0ed259b7f835"/>
    <s v="Rejish Baby"/>
    <s v="This week"/>
    <s v="MS050033"/>
    <d v="2026-06-08T00:00:00"/>
    <d v="2025-11-24T00:00:00"/>
    <d v="2025-05-03T00:00:00"/>
    <d v="2024-11-11T00:00:00"/>
    <s v="https://mhmpl.sangamcrm.com/tickets/9cbc3d4b-5b61-4372-aa23-0ed259b7f835"/>
    <s v="CHAITHANYA LASIK CENTRE TRIVANDRUM HS-1607SD PMS "/>
  </r>
  <r>
    <n v="48050"/>
    <s v="Assigned"/>
    <d v="2026-10-31T00:00:00"/>
    <s v="Mookambika Modi Eye Hospital"/>
    <s v="Tumakuru"/>
    <s v="OA-2000"/>
    <s v="601A41152"/>
    <s v="PMS"/>
    <x v="7"/>
    <s v="86d91062-c10d-4351-934e-43d8cfbb2601"/>
    <s v="Manu Mohan"/>
    <s v="This week"/>
    <s v="601A41152"/>
    <m/>
    <m/>
    <m/>
    <m/>
    <s v="https://mhmpl.sangamcrm.com/tickets/86d91062-c10d-4351-934e-43d8cfbb2601"/>
    <s v="Mookambika Modi Eye Hospital Tumakuru OA-2000 PMS "/>
  </r>
  <r>
    <n v="44416"/>
    <s v="Assigned"/>
    <d v="2026-11-30T00:00:00"/>
    <s v="AKSHARA EYE FOUNDATION"/>
    <s v="TUMAKURU"/>
    <s v="HS-3041BD"/>
    <s v="MD060001"/>
    <s v="PMS"/>
    <x v="7"/>
    <s v="fc2cefc9-51d5-48b4-90ae-e0e8c4c0c172"/>
    <s v="Manu Mohan"/>
    <s v="Next 30 days"/>
    <s v="MD060001"/>
    <d v="2026-09-07T00:00:00"/>
    <d v="2025-12-17T00:00:00"/>
    <d v="2025-06-10T00:00:00"/>
    <d v="2024-09-27T00:00:00"/>
    <s v="https://mhmpl.sangamcrm.com/tickets/fc2cefc9-51d5-48b4-90ae-e0e8c4c0c172"/>
    <s v="AKSHARA EYE FOUNDATION TUMAKURU HS-3041BD PMS "/>
  </r>
  <r>
    <n v="43699"/>
    <s v="Assigned"/>
    <d v="2026-10-31T00:00:00"/>
    <s v="SHREE HARI NETRALAYA UDUPI"/>
    <s v="UDUPI"/>
    <s v="DGH 6000"/>
    <s v="1491"/>
    <s v="PMS"/>
    <x v="6"/>
    <s v="1c45d0ae-dcc7-47e1-ba44-5fb57a4729c0"/>
    <s v="Manu Mohan"/>
    <s v="This week"/>
    <s v="1491"/>
    <d v="2026-08-11T00:00:00"/>
    <m/>
    <m/>
    <m/>
    <s v="https://mhmpl.sangamcrm.com/tickets/1c45d0ae-dcc7-47e1-ba44-5fb57a4729c0"/>
    <s v="SHREE HARI NETRALAYA UDUPI UDUPI DGH 6000 PMS "/>
  </r>
  <r>
    <n v="48130"/>
    <s v="Assigned"/>
    <d v="2026-11-30T00:00:00"/>
    <s v="PARVATHI MAHABALA SHETTY CHARITABLE TRUST"/>
    <s v="UDUPI"/>
    <s v="HS-2522BL"/>
    <s v="ML010049"/>
    <s v="PMS"/>
    <x v="7"/>
    <s v="bf3a7cef-4367-42e5-ba61-32d26f562ad7"/>
    <s v="Manu Mohan"/>
    <s v="Next 30 days"/>
    <s v="ML010049"/>
    <d v="2026-09-26T00:00:00"/>
    <d v="2026-01-28T00:00:00"/>
    <d v="2025-10-10T00:00:00"/>
    <d v="2024-12-09T00:00:00"/>
    <s v="https://mhmpl.sangamcrm.com/tickets/bf3a7cef-4367-42e5-ba61-32d26f562ad7"/>
    <s v="PARVATHI MAHABALA SHETTY CHARITABLE TRUST UDUPI HS-2522BL PMS "/>
  </r>
  <r>
    <n v="54019"/>
    <s v="Assigned"/>
    <d v="2026-11-30T00:00:00"/>
    <s v="SCHIEFFELIN INSTITUTE OF HEALTH-RESEARCH &amp;LEPROSY CENTRE"/>
    <s v="Vellore"/>
    <s v="HS-2522SD"/>
    <s v="OM060004"/>
    <s v="PMS"/>
    <x v="11"/>
    <s v="7c602781-8ca4-427d-9027-81ca929df825"/>
    <s v="Manivannan D"/>
    <s v="Next 30 days"/>
    <s v="OM060004"/>
    <d v="2026-08-07T00:00:00"/>
    <d v="2026-02-28T00:00:00"/>
    <d v="2025-09-27T00:00:00"/>
    <d v="2025-01-29T00:00:00"/>
    <s v="https://mhmpl.sangamcrm.com/tickets/7c602781-8ca4-427d-9027-81ca929df825"/>
    <s v="SCHIEFFELIN INSTITUTE OF HEALTH-RESEARCH &amp;LEPROSY CENTRE Vellore HS-2522SD PMS "/>
  </r>
  <r>
    <n v="55941"/>
    <s v="Part Pending"/>
    <d v="2026-10-11T00:00:00"/>
    <s v="CMC -SCHELL EYE HOSPITAL"/>
    <s v="Vellore"/>
    <s v="EM-4000"/>
    <s v="163709"/>
    <s v="Service"/>
    <x v="11"/>
    <s v="a9d7440c-92b7-480a-bbce-3746e489da32"/>
    <s v="Manivannan D"/>
    <s v="Overdue"/>
    <s v="163709"/>
    <d v="2026-08-06T00:00:00"/>
    <d v="2026-03-02T00:00:00"/>
    <d v="2025-08-23T00:00:00"/>
    <d v="2024-11-05T00:00:00"/>
    <s v="https://mhmpl.sangamcrm.com/tickets/a9d7440c-92b7-480a-bbce-3746e489da32"/>
    <s v="CMC -SCHELL EYE HOSPITAL Vellore EM-4000 Service "/>
  </r>
  <r>
    <n v="48186"/>
    <s v="Escalated to Parent Company"/>
    <d v="2026-07-31T00:00:00"/>
    <s v="ANUGRAHA EYE HOSPITAL BIJAPUR"/>
    <s v="Vijayapura"/>
    <s v="SIRIUS"/>
    <s v="18023046"/>
    <s v="PMS"/>
    <x v="6"/>
    <s v="ea681402-1ad3-483b-b9ce-9212d410dff6"/>
    <s v="Manu Mohan"/>
    <s v="Overdue"/>
    <s v="18023046"/>
    <d v="2026-01-31T00:00:00"/>
    <d v="2025-05-28T00:00:00"/>
    <d v="2025-02-14T00:00:00"/>
    <d v="2024-08-26T00:00:00"/>
    <s v="https://mhmpl.sangamcrm.com/tickets/ea681402-1ad3-483b-b9ce-9212d410dff6"/>
    <s v="ANUGRAHA EYE HOSPITAL BIJAPUR Vijayapura SIRIUS PMS "/>
  </r>
  <r>
    <n v="54434"/>
    <s v="Pending from Customer end"/>
    <d v="2026-09-03T00:00:00"/>
    <s v="Sankara Netralayam Eye hospital"/>
    <s v="Vijayawada"/>
    <s v="DGH 6000"/>
    <s v="1368"/>
    <s v="Service"/>
    <x v="1"/>
    <s v="dc278024-1049-4a6c-b5b5-6ee316330dae"/>
    <s v="Motty C Das"/>
    <s v="Overdue"/>
    <s v="1368"/>
    <d v="2026-04-17T00:00:00"/>
    <d v="2025-11-14T00:00:00"/>
    <m/>
    <m/>
    <s v="https://mhmpl.sangamcrm.com/tickets/dc278024-1049-4a6c-b5b5-6ee316330dae"/>
    <s v="Sankara Netralayam Eye hospital Vijayawada DGH 6000 Service "/>
  </r>
  <r>
    <n v="46665"/>
    <s v="Assigned"/>
    <d v="2026-11-30T00:00:00"/>
    <s v="CHAITANYA EYE HOSPITAL VIJAYAWADA"/>
    <s v="VIJAYAWADA"/>
    <s v="HS-2522BL"/>
    <s v="ML040074"/>
    <s v="PMS"/>
    <x v="1"/>
    <s v="97dbd1e3-daae-40e7-b44b-cea396eb3e81"/>
    <s v="Motty C Das"/>
    <s v="Next 30 days"/>
    <s v="ML040074"/>
    <d v="2026-05-06T00:00:00"/>
    <d v="2025-12-04T00:00:00"/>
    <d v="2025-05-22T00:00:00"/>
    <d v="2024-11-25T00:00:00"/>
    <s v="https://mhmpl.sangamcrm.com/tickets/97dbd1e3-daae-40e7-b44b-cea396eb3e81"/>
    <s v="CHAITANYA EYE HOSPITAL VIJAYAWADA VIJAYAWADA HS-2522BL PMS "/>
  </r>
  <r>
    <n v="46663"/>
    <s v="Assigned"/>
    <d v="2026-10-31T00:00:00"/>
    <s v="CHAITANYA EYE HOSPITAL VIJAYAWADA"/>
    <s v="VIJAYAWADA"/>
    <s v="SIRIUS"/>
    <s v="12071625"/>
    <s v="PMS"/>
    <x v="1"/>
    <s v="56544e86-1a56-4622-b5d9-ac8468e5cbf9"/>
    <s v="Motty C Das"/>
    <s v="This week"/>
    <s v="12071625"/>
    <d v="2026-05-06T00:00:00"/>
    <d v="2025-11-24T00:00:00"/>
    <d v="2025-05-22T00:00:00"/>
    <d v="2024-11-25T00:00:00"/>
    <s v="https://mhmpl.sangamcrm.com/tickets/56544e86-1a56-4622-b5d9-ac8468e5cbf9"/>
    <s v="CHAITANYA EYE HOSPITAL VIJAYAWADA VIJAYAWADA SIRIUS PMS "/>
  </r>
  <r>
    <n v="49970"/>
    <s v="Part Pending"/>
    <d v="2026-10-08T00:00:00"/>
    <s v="SMART VISION EYE HOSPITAL Vijayawada."/>
    <s v="VIJAYAWADA"/>
    <s v="HS-2321VD"/>
    <s v="MD05006"/>
    <s v="Service"/>
    <x v="1"/>
    <s v="da5849cc-8ada-4d7e-903a-71766c2d7ed4"/>
    <s v="Motty C Das"/>
    <s v="Overdue"/>
    <s v="MD05006"/>
    <d v="2026-04-17T00:00:00"/>
    <d v="2025-11-06T00:00:00"/>
    <d v="2025-04-28T00:00:00"/>
    <d v="2024-11-26T00:00:00"/>
    <s v="https://mhmpl.sangamcrm.com/tickets/da5849cc-8ada-4d7e-903a-71766c2d7ed4"/>
    <s v="SMART VISION EYE HOSPITAL Vijayawada. VIJAYAWADA HS-2321VD Service "/>
  </r>
  <r>
    <n v="42817"/>
    <s v="Assigned"/>
    <d v="2026-10-31T00:00:00"/>
    <s v="THE EYE FOUNDATION Vellore"/>
    <s v="Viruthambet"/>
    <s v="HS-2522BL"/>
    <s v="OR100012"/>
    <s v="PMS"/>
    <x v="11"/>
    <s v="2266e173-051a-41a9-b634-db133e27a8b7"/>
    <s v="Manivannan D"/>
    <s v="This week"/>
    <s v="OR100012"/>
    <d v="2026-05-18T00:00:00"/>
    <d v="2025-10-16T00:00:00"/>
    <d v="2025-04-10T00:00:00"/>
    <m/>
    <s v="https://mhmpl.sangamcrm.com/tickets/2266e173-051a-41a9-b634-db133e27a8b7"/>
    <s v="THE EYE FOUNDATION Vellore Viruthambet HS-2522BL PMS "/>
  </r>
  <r>
    <n v="50313"/>
    <s v="Assigned"/>
    <d v="2026-11-30T00:00:00"/>
    <s v="Bhanu Eye Care"/>
    <s v="Visakhapatnam"/>
    <s v="REVO 60"/>
    <s v="1911587/A"/>
    <s v="PMS"/>
    <x v="10"/>
    <s v="debd726f-cb8b-4109-af09-8724ce7f49f3"/>
    <s v="Motty C Das"/>
    <s v="Next 30 days"/>
    <s v="1911587/A"/>
    <m/>
    <m/>
    <m/>
    <m/>
    <s v="https://mhmpl.sangamcrm.com/tickets/debd726f-cb8b-4109-af09-8724ce7f49f3"/>
    <s v="Bhanu Eye Care Visakhapatnam REVO 60 PMS "/>
  </r>
  <r>
    <n v="56865"/>
    <s v="Pending from Customer end"/>
    <d v="2026-10-24T00:00:00"/>
    <s v="SANKAR FOUNDATION"/>
    <s v="VISAKHAPATNAM"/>
    <s v="OA-2000"/>
    <s v="034B25052"/>
    <s v="Service"/>
    <x v="13"/>
    <s v="c0eb483e-d7a1-4509-b0cb-67e791c7a5ae"/>
    <s v="Motty C Das"/>
    <s v="Overdue"/>
    <s v="034B25052"/>
    <d v="2026-07-08T00:00:00"/>
    <m/>
    <m/>
    <m/>
    <s v="https://mhmpl.sangamcrm.com/tickets/c0eb483e-d7a1-4509-b0cb-67e791c7a5ae"/>
    <s v="SANKAR FOUNDATION VISAKHAPATNAM OA-2000 Service "/>
  </r>
  <r>
    <n v="44553"/>
    <s v="Assigned"/>
    <d v="2026-11-30T00:00:00"/>
    <s v="SANKAR FOUNDATION"/>
    <s v="VISAKHAPATNAM"/>
    <s v="OA-2000"/>
    <s v="034B25052"/>
    <s v="PMS"/>
    <x v="10"/>
    <s v="f34ce841-9016-4574-8ed6-d35042031504"/>
    <s v="Motty C Das"/>
    <s v="Next 30 days"/>
    <s v="034B25052"/>
    <d v="2026-07-08T00:00:00"/>
    <m/>
    <m/>
    <m/>
    <s v="https://mhmpl.sangamcrm.com/tickets/f34ce841-9016-4574-8ed6-d35042031504"/>
    <s v="SANKAR FOUNDATION VISAKHAPATNAM OA-2000 PMS "/>
  </r>
  <r>
    <n v="51323"/>
    <s v="Assigned"/>
    <d v="2026-11-30T00:00:00"/>
    <s v="INHS KALYANI"/>
    <s v="VISAKHAPATNAM"/>
    <s v="EM-4000"/>
    <s v="3505"/>
    <s v="PMS"/>
    <x v="10"/>
    <s v="b2b387ed-e195-4625-8bff-b59e5217c28f"/>
    <s v="Motty C Das"/>
    <s v="Next 30 days"/>
    <s v="3505"/>
    <d v="2026-09-07T00:00:00"/>
    <d v="2026-06-26T00:00:00"/>
    <d v="2026-04-15T00:00:00"/>
    <d v="2026-01-28T00:00:00"/>
    <s v="https://mhmpl.sangamcrm.com/tickets/b2b387ed-e195-4625-8bff-b59e5217c28f"/>
    <s v="INHS KALYANI VISAKHAPATNAM EM-4000 PMS "/>
  </r>
  <r>
    <n v="49964"/>
    <s v="Assigned"/>
    <d v="2026-10-31T00:00:00"/>
    <s v="SANKAR FOUNDATION EYE HOSPITAL"/>
    <s v="VISAKHAPATNAM"/>
    <s v="PTS 2000"/>
    <s v="7700013/R"/>
    <s v="PMS"/>
    <x v="10"/>
    <s v="23db3f91-6426-4b91-829e-3e15fb677b64"/>
    <s v="Motty C Das"/>
    <s v="This week"/>
    <s v="7700013/R"/>
    <d v="2026-02-04T00:00:00"/>
    <d v="2025-10-03T00:00:00"/>
    <d v="2025-04-08T00:00:00"/>
    <d v="2024-09-20T00:00:00"/>
    <s v="https://mhmpl.sangamcrm.com/tickets/23db3f91-6426-4b91-829e-3e15fb677b64"/>
    <s v="SANKAR FOUNDATION EYE HOSPITAL VISAKHAPATNAM PTS 2000 PMS "/>
  </r>
  <r>
    <n v="53007"/>
    <s v="Instrument at OEM Factory"/>
    <d v="2026-07-27T00:00:00"/>
    <s v="Swamy eye Hospital"/>
    <s v="Vizianagaram"/>
    <s v="OA-2000"/>
    <s v="594A07052"/>
    <s v="Service"/>
    <x v="1"/>
    <s v="e7c9a464-951f-4fbb-b9dc-9e292b9748a1"/>
    <s v="Motty C Das"/>
    <s v="Overdue"/>
    <s v="594A07052"/>
    <d v="2026-06-05T00:00:00"/>
    <m/>
    <m/>
    <m/>
    <s v="https://mhmpl.sangamcrm.com/tickets/e7c9a464-951f-4fbb-b9dc-9e292b9748a1"/>
    <s v="Swamy eye Hospital Vizianagaram OA-2000 Service "/>
  </r>
  <r>
    <n v="44577"/>
    <s v="Instrument at OEM Factory"/>
    <d v="2026-11-12T00:00:00"/>
    <s v="Swamy eye Hospital"/>
    <s v="Vizianagaram"/>
    <s v="OA-2000"/>
    <s v="594A07052"/>
    <s v="PMS"/>
    <x v="1"/>
    <s v="ad5f8e9c-1ce0-4401-b543-18677602dac9"/>
    <s v="Motty C Das"/>
    <s v="Next 30 days"/>
    <s v="594A07052"/>
    <d v="2026-06-05T00:00:00"/>
    <m/>
    <m/>
    <m/>
    <s v="https://mhmpl.sangamcrm.com/tickets/ad5f8e9c-1ce0-4401-b543-18677602dac9"/>
    <s v="Swamy eye Hospital Vizianagaram OA-2000 PMS "/>
  </r>
  <r>
    <n v="56638"/>
    <s v="Scheduled"/>
    <d v="2026-10-22T00:00:00"/>
    <s v="ARUL EYE CARE"/>
    <m/>
    <s v="E-Eye"/>
    <s v="D029AF001C08A025310007"/>
    <s v="Service"/>
    <x v="14"/>
    <s v="4f0e0431-ae27-4a49-9b6b-2ec0654f2245"/>
    <s v="Jinson P J"/>
    <s v="Overdue"/>
    <s v="D029AF001C08A025310007"/>
    <m/>
    <m/>
    <m/>
    <m/>
    <s v="https://mhmpl.sangamcrm.com/tickets/4f0e0431-ae27-4a49-9b6b-2ec0654f2245"/>
    <s v="ARUL EYE CARE  E-Eye Service "/>
  </r>
  <r>
    <n v="55701"/>
    <s v="Assigned"/>
    <d v="2026-09-29T00:00:00"/>
    <s v="ARAVIND EYE HOSPITAL"/>
    <m/>
    <s v="EX500"/>
    <s v="1016-4-3780"/>
    <s v="Service"/>
    <x v="14"/>
    <s v="7684be5d-081b-4a51-ae4b-f8f7da6d340e"/>
    <s v="Jinson P J"/>
    <s v="Overdue"/>
    <s v="1016-4-3780"/>
    <d v="2026-08-27T00:00:00"/>
    <d v="2026-02-20T00:00:00"/>
    <m/>
    <m/>
    <s v="https://mhmpl.sangamcrm.com/tickets/7684be5d-081b-4a51-ae4b-f8f7da6d340e"/>
    <s v="ARAVIND EYE HOSPITAL  EX500 Service "/>
  </r>
  <r>
    <n v="57062"/>
    <s v="Scheduled"/>
    <d v="2026-10-29T00:00:00"/>
    <s v="K S EYE HOSPITAL"/>
    <m/>
    <s v="OA-2000"/>
    <s v="465A61032"/>
    <s v="Service"/>
    <x v="14"/>
    <s v="c107a139-e46f-4461-9416-61185defd9cb"/>
    <s v="Jinson P J"/>
    <s v="Overdue"/>
    <s v="465A61032"/>
    <d v="2026-06-16T00:00:00"/>
    <d v="2026-02-27T00:00:00"/>
    <d v="2025-09-10T00:00:00"/>
    <d v="2025-01-10T00:00:00"/>
    <s v="https://mhmpl.sangamcrm.com/tickets/c107a139-e46f-4461-9416-61185defd9cb"/>
    <s v="K S EYE HOSPITAL  OA-2000 Service "/>
  </r>
  <r>
    <n v="56972"/>
    <s v="Scheduled"/>
    <d v="2026-10-27T00:00:00"/>
    <s v="Dr AGARWALS EYE HOSPITAL MAGADI RD"/>
    <m/>
    <s v="Pachette 4"/>
    <s v="1897"/>
    <s v="Installation,Demo"/>
    <x v="6"/>
    <s v="8fd561f0-9768-4935-9586-89333eee70b3"/>
    <s v="Manu Mohan"/>
    <s v="Overdue"/>
    <s v="1897"/>
    <m/>
    <m/>
    <m/>
    <m/>
    <s v="https://mhmpl.sangamcrm.com/tickets/8fd561f0-9768-4935-9586-89333eee70b3"/>
    <s v="Dr AGARWALS EYE HOSPITAL MAGADI RD  Pachette 4 Installation,Demo "/>
  </r>
  <r>
    <n v="56450"/>
    <s v="Scheduled"/>
    <d v="2026-09-29T00:00:00"/>
    <s v="Idrishti eye hospital"/>
    <m/>
    <s v="DGH 6000"/>
    <s v="1594"/>
    <s v="Installation,Demo"/>
    <x v="6"/>
    <s v="b39fa1a8-ef6c-46b7-907b-950470c5569a"/>
    <s v="Manu Mohan"/>
    <s v="Overdue"/>
    <s v="1594"/>
    <m/>
    <m/>
    <m/>
    <m/>
    <s v="https://mhmpl.sangamcrm.com/tickets/b39fa1a8-ef6c-46b7-907b-950470c5569a"/>
    <s v="Idrishti eye hospital  DGH 6000 Installation,Demo "/>
  </r>
  <r>
    <n v="49206"/>
    <s v="Scheduled"/>
    <d v="2026-05-07T00:00:00"/>
    <s v="Alcon Laboratories (India) Private Limited"/>
    <m/>
    <s v="INNOVEYES SIGHTMAP"/>
    <s v="1089-1-550"/>
    <s v="Retrofit"/>
    <x v="5"/>
    <s v="4dd12446-07ae-42de-9b6c-482ed3858687"/>
    <s v="Manu Mohan"/>
    <s v="Overdue"/>
    <m/>
    <m/>
    <m/>
    <m/>
    <m/>
    <s v="https://mhmpl.sangamcrm.com/tickets/4dd12446-07ae-42de-9b6c-482ed3858687"/>
    <s v="Alcon Laboratories (India) Private Limited  INNOVEYES SIGHTMAP Retrofit "/>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930631-0D00-44F3-882C-1663796FEDF9}"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FSE">
  <location ref="A1:B22" firstHeaderRow="1" firstDataRow="1" firstDataCol="1"/>
  <pivotFields count="19">
    <pivotField showAll="0"/>
    <pivotField showAll="0"/>
    <pivotField numFmtId="164" showAll="0"/>
    <pivotField showAll="0"/>
    <pivotField showAll="0"/>
    <pivotField showAll="0"/>
    <pivotField dataField="1" showAll="0"/>
    <pivotField showAll="0"/>
    <pivotField axis="axisRow" showAll="0" sortType="descending">
      <items count="21">
        <item x="6"/>
        <item x="8"/>
        <item x="11"/>
        <item x="1"/>
        <item x="4"/>
        <item x="10"/>
        <item x="14"/>
        <item x="7"/>
        <item x="0"/>
        <item x="12"/>
        <item x="5"/>
        <item x="13"/>
        <item x="9"/>
        <item x="15"/>
        <item x="18"/>
        <item x="3"/>
        <item x="2"/>
        <item x="19"/>
        <item x="16"/>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s>
  <rowFields count="1">
    <field x="8"/>
  </rowFields>
  <rowItems count="21">
    <i>
      <x v="8"/>
    </i>
    <i>
      <x/>
    </i>
    <i>
      <x v="7"/>
    </i>
    <i>
      <x v="6"/>
    </i>
    <i>
      <x v="1"/>
    </i>
    <i>
      <x v="17"/>
    </i>
    <i>
      <x v="14"/>
    </i>
    <i>
      <x v="5"/>
    </i>
    <i>
      <x v="2"/>
    </i>
    <i>
      <x v="15"/>
    </i>
    <i>
      <x v="3"/>
    </i>
    <i>
      <x v="9"/>
    </i>
    <i>
      <x v="16"/>
    </i>
    <i>
      <x v="10"/>
    </i>
    <i>
      <x v="12"/>
    </i>
    <i>
      <x v="11"/>
    </i>
    <i>
      <x v="4"/>
    </i>
    <i>
      <x v="19"/>
    </i>
    <i>
      <x v="18"/>
    </i>
    <i>
      <x v="13"/>
    </i>
    <i t="grand">
      <x/>
    </i>
  </rowItems>
  <colItems count="1">
    <i/>
  </colItems>
  <dataFields count="1">
    <dataField name="Tickets" fld="6" subtotal="count" baseField="0" baseItem="0"/>
  </dataFields>
  <chartFormats count="3">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4B744DF6-85E4-4B24-839C-4A3C52C2FB53}" autoFormatId="16" applyNumberFormats="0" applyBorderFormats="0" applyFontFormats="0" applyPatternFormats="0" applyAlignmentFormats="0" applyWidthHeightFormats="0">
  <queryTableRefresh nextId="6">
    <queryTableFields count="5">
      <queryTableField id="1" name="Serial Number" tableColumnId="1"/>
      <queryTableField id="2" name="Last PMS" tableColumnId="2"/>
      <queryTableField id="3" name="PMS-2" tableColumnId="3"/>
      <queryTableField id="4" name="PMS-3" tableColumnId="4"/>
      <queryTableField id="5" name="PMS-4"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adjustColumnWidth="0" connectionId="2" xr16:uid="{C184671E-9FBD-4977-A83C-1BB088837746}" autoFormatId="16" applyNumberFormats="0" applyBorderFormats="0" applyFontFormats="0" applyPatternFormats="0" applyAlignmentFormats="0" applyWidthHeightFormats="0">
  <queryTableRefresh nextId="58" unboundColumnsRight="2">
    <queryTableFields count="19">
      <queryTableField id="1" name="Ticket Number" tableColumnId="1"/>
      <queryTableField id="2" name="Status" tableColumnId="2"/>
      <queryTableField id="36" name="Real Due date" tableColumnId="36"/>
      <queryTableField id="5" name="Account Name" tableColumnId="5"/>
      <queryTableField id="43" name="City" tableColumnId="3"/>
      <queryTableField id="7" name="Product Name" tableColumnId="7"/>
      <queryTableField id="8" name="Serial Number" tableColumnId="8"/>
      <queryTableField id="10" name="Ticket Type" tableColumnId="10"/>
      <queryTableField id="12" name="Assigned To" tableColumnId="12"/>
      <queryTableField id="53" name="Id" tableColumnId="17"/>
      <queryTableField id="11" name="ASM" tableColumnId="11"/>
      <queryTableField id="35" name="Due dates" tableColumnId="35"/>
      <queryTableField id="45" name="PMS.Serial Number" tableColumnId="4"/>
      <queryTableField id="46" name="PMS.Last PMS" tableColumnId="6"/>
      <queryTableField id="47" name="PMS.PMS-2" tableColumnId="9"/>
      <queryTableField id="48" name="PMS.PMS-3" tableColumnId="13"/>
      <queryTableField id="49" name="PMS.PMS-4" tableColumnId="14"/>
      <queryTableField id="56" dataBound="0" tableColumnId="15"/>
      <queryTableField id="57" dataBound="0"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57394C9E-54E5-47DF-AD49-8C588B24CC31}" sourceName="Status">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t_Type" xr10:uid="{BBC5EFDE-C1FE-4BE6-BD05-EC75C72B3E86}" sourceName="Ticket Type">
  <extLst>
    <x:ext xmlns:x15="http://schemas.microsoft.com/office/spreadsheetml/2010/11/main" uri="{2F2917AC-EB37-4324-AD4E-5DD8C200BD13}">
      <x15:tableSlicerCache tableId="1" column="10"/>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_To" xr10:uid="{F745026D-A0EB-460F-9682-38883856ED36}" sourceName="Assigned To">
  <extLst>
    <x:ext xmlns:x15="http://schemas.microsoft.com/office/spreadsheetml/2010/11/main" uri="{2F2917AC-EB37-4324-AD4E-5DD8C200BD13}">
      <x15:tableSlicerCache tableId="1" column="1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M" xr10:uid="{AC6E2B10-F10D-41A6-8A08-C872452919A4}" sourceName="ASM">
  <extLst>
    <x:ext xmlns:x15="http://schemas.microsoft.com/office/spreadsheetml/2010/11/main" uri="{2F2917AC-EB37-4324-AD4E-5DD8C200BD13}">
      <x15:tableSlicerCache tableId="1" column="11"/>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ue_dates" xr10:uid="{AFD3DB25-40D9-40DD-9E19-C7D9ECC213EB}" sourceName="Due dates">
  <extLst>
    <x:ext xmlns:x15="http://schemas.microsoft.com/office/spreadsheetml/2010/11/main" uri="{2F2917AC-EB37-4324-AD4E-5DD8C200BD13}">
      <x15:tableSlicerCache tableId="1" column="3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3BE8AEAA-E5D6-47D5-B990-FF12A1B14332}" cache="Slicer_Status" caption="Status" columnCount="3" style="SlicerStyleDark4" rowHeight="252000"/>
  <slicer name="Ticket Type" xr10:uid="{3DEF1C2F-0BCA-4C93-8FF8-0CB6DE339263}" cache="Slicer_Ticket_Type" caption="Ticket Type" columnCount="2" style="SlicerStyleLight3" rowHeight="252000"/>
  <slicer name="Assigned To" xr10:uid="{4756BB49-6E18-4319-9F23-E1078261163B}" cache="Slicer_Assigned_To" caption="Assigned To" columnCount="5" style="SlicerStyleLight5" rowHeight="252000"/>
  <slicer name="ASM" xr10:uid="{F9948BA8-48B5-4F16-8AAA-DBBCB1C0D838}" cache="Slicer_ASM" caption="ASM" columnCount="2" style="SlicerStyleLight4" rowHeight="252000"/>
  <slicer name="Due dates" xr10:uid="{7FC3DBAC-A241-4FC7-98FD-351FCA63B7DC}" cache="Slicer_Due_dates" caption="Due dates" rowHeight="2286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FF96288-4BCE-4B15-92B5-B5099A5858E9}" name="PMS" displayName="PMS" ref="A1:E2220" tableType="queryTable" totalsRowShown="0">
  <autoFilter ref="A1:E2220" xr:uid="{8FF96288-4BCE-4B15-92B5-B5099A5858E9}"/>
  <tableColumns count="5">
    <tableColumn id="1" xr3:uid="{21E3466D-FB49-4FC8-8EBE-B90DD1C88B70}" uniqueName="1" name="Serial Number" queryTableFieldId="1" dataDxfId="23"/>
    <tableColumn id="2" xr3:uid="{9F29548F-6F91-46AE-9198-1058ACBEB921}" uniqueName="2" name="Last PMS" queryTableFieldId="2" dataDxfId="22"/>
    <tableColumn id="3" xr3:uid="{3515D7E5-9E2C-4D13-93DB-D6C30E5CE145}" uniqueName="3" name="PMS-2" queryTableFieldId="3" dataDxfId="21"/>
    <tableColumn id="4" xr3:uid="{856DD6E5-42C1-46AE-AC2F-004319B8D087}" uniqueName="4" name="PMS-3" queryTableFieldId="4" dataDxfId="20"/>
    <tableColumn id="5" xr3:uid="{3FAE8B1B-2505-4710-A5B0-7EDECA55853A}" uniqueName="5" name="PMS-4" queryTableFieldId="5" dataDxfId="1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2039EC-F1CB-4D75-99DC-0E5D04B09D58}" name="Ticket3" displayName="Ticket3" ref="A2:S314" tableType="queryTable" totalsRowShown="0">
  <autoFilter ref="A2:S314" xr:uid="{E82039EC-F1CB-4D75-99DC-0E5D04B09D58}"/>
  <sortState xmlns:xlrd2="http://schemas.microsoft.com/office/spreadsheetml/2017/richdata2" ref="A3:S314">
    <sortCondition ref="E2:E314"/>
  </sortState>
  <tableColumns count="19">
    <tableColumn id="1" xr3:uid="{0F3F1FA8-F93A-4A2F-B00C-CFBB4DB5E879}" uniqueName="1" name="Ticket Number" queryTableFieldId="1" dataDxfId="17"/>
    <tableColumn id="2" xr3:uid="{5B7BCDBE-D7BF-47B7-AF40-4CD801F6B07D}" uniqueName="2" name="Status" queryTableFieldId="2" dataDxfId="16"/>
    <tableColumn id="36" xr3:uid="{37D368A8-AF8C-4A59-99C3-67547475FFE1}" uniqueName="36" name="Real Due date" queryTableFieldId="36" dataDxfId="15"/>
    <tableColumn id="5" xr3:uid="{EC6531E1-F7D9-4580-8BA9-831E874096F6}" uniqueName="5" name="Account Name" queryTableFieldId="5" dataDxfId="14"/>
    <tableColumn id="3" xr3:uid="{15346F57-DD03-4008-A94F-F43F877CC87A}" uniqueName="3" name="City" queryTableFieldId="43" dataDxfId="13"/>
    <tableColumn id="7" xr3:uid="{6F8C4D19-D917-48F1-90AB-57C07DF1C26B}" uniqueName="7" name="Product Name" queryTableFieldId="7" dataDxfId="12"/>
    <tableColumn id="8" xr3:uid="{7F146FFE-EE47-4C43-8D55-DCEE4EC7BDC5}" uniqueName="8" name="Serial Number" queryTableFieldId="8" dataDxfId="11"/>
    <tableColumn id="10" xr3:uid="{4838BBE6-838F-420E-BF5E-57B3D9B2F2BE}" uniqueName="10" name="Ticket Type" queryTableFieldId="10" dataDxfId="10"/>
    <tableColumn id="12" xr3:uid="{C61FE2FA-E8C7-4430-9CE9-BEBCCCC68CB7}" uniqueName="12" name="Assigned To" queryTableFieldId="12" dataDxfId="9"/>
    <tableColumn id="17" xr3:uid="{7D2B344D-E4BC-48EC-BEEB-1441F0B11B67}" uniqueName="17" name="Id" queryTableFieldId="53"/>
    <tableColumn id="11" xr3:uid="{5948FFC9-2F66-4B7D-8599-088B91F8D03F}" uniqueName="11" name="ASM" queryTableFieldId="11" dataDxfId="8"/>
    <tableColumn id="35" xr3:uid="{D34EA3BB-43B4-4089-9FEC-AB47A144F952}" uniqueName="35" name="Due dates" queryTableFieldId="35" dataDxfId="7"/>
    <tableColumn id="4" xr3:uid="{02DA44FE-D793-4BE3-B146-5F3D2C5F071D}" uniqueName="4" name="PMS.Serial Number" queryTableFieldId="45" dataDxfId="6"/>
    <tableColumn id="6" xr3:uid="{A8028FBC-4D30-4E63-81DD-0BAB06D7B0C3}" uniqueName="6" name="PMS.Last PMS" queryTableFieldId="46" dataDxfId="5"/>
    <tableColumn id="9" xr3:uid="{78679CED-E969-48E5-A5E1-9E733C592374}" uniqueName="9" name="PMS.PMS-2" queryTableFieldId="47" dataDxfId="4"/>
    <tableColumn id="13" xr3:uid="{90408E7D-9EB9-49F3-9936-71777BDD51C8}" uniqueName="13" name="PMS.PMS-3" queryTableFieldId="48" dataDxfId="3"/>
    <tableColumn id="14" xr3:uid="{E4F8A481-FE3D-4D70-B3DF-9506B6A59592}" uniqueName="14" name="PMS.PMS-4" queryTableFieldId="49" dataDxfId="2"/>
    <tableColumn id="15" xr3:uid="{D3E1E96F-F8EE-4324-9711-8EFC534ECFF7}" uniqueName="15" name="Ticket Link" queryTableFieldId="56" dataDxfId="1" dataCellStyle="Hyperlink">
      <calculatedColumnFormula>HYPERLINK(_xlfn.CONCAT("https://mhmpl.sangamcrm.com/tickets/",Ticket3[[#This Row],[Id]]))</calculatedColumnFormula>
    </tableColumn>
    <tableColumn id="16" xr3:uid="{05F42807-696F-4557-90DB-3AA69A1FF96F}" uniqueName="16" name="Summary" queryTableFieldId="57" dataDxfId="0">
      <calculatedColumnFormula>_xlfn.CONCAT(Ticket3[[#This Row],[Account Name]]," ",Ticket3[[#This Row],[City]]," ",Ticket3[[#This Row],[Product Name]]," ",Ticket3[[#This Row],[Ticket Type]]," ")</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8FDDD-2118-485F-833E-3EF20FC3CFBD}">
  <dimension ref="A1:E2220"/>
  <sheetViews>
    <sheetView topLeftCell="A22" workbookViewId="0">
      <selection sqref="A1:E2154"/>
    </sheetView>
  </sheetViews>
  <sheetFormatPr defaultRowHeight="15" x14ac:dyDescent="0.25"/>
  <cols>
    <col min="1" max="1" width="25.5703125" bestFit="1" customWidth="1"/>
    <col min="2" max="2" width="11.28515625" bestFit="1" customWidth="1"/>
    <col min="3" max="5" width="10.42578125" bestFit="1" customWidth="1"/>
  </cols>
  <sheetData>
    <row r="1" spans="1:5" x14ac:dyDescent="0.25">
      <c r="A1" t="s">
        <v>0</v>
      </c>
      <c r="B1" t="s">
        <v>1</v>
      </c>
      <c r="C1" t="s">
        <v>2</v>
      </c>
      <c r="D1" t="s">
        <v>3</v>
      </c>
      <c r="E1" t="s">
        <v>4</v>
      </c>
    </row>
    <row r="2" spans="1:5" x14ac:dyDescent="0.25">
      <c r="A2" s="1" t="s">
        <v>2201</v>
      </c>
      <c r="B2" s="8"/>
      <c r="C2" s="8"/>
      <c r="D2" s="8"/>
      <c r="E2" s="8"/>
    </row>
    <row r="3" spans="1:5" x14ac:dyDescent="0.25">
      <c r="A3" s="1" t="s">
        <v>2203</v>
      </c>
      <c r="B3" s="8"/>
      <c r="C3" s="8"/>
      <c r="D3" s="8"/>
      <c r="E3" s="8"/>
    </row>
    <row r="4" spans="1:5" x14ac:dyDescent="0.25">
      <c r="A4" s="1" t="s">
        <v>2202</v>
      </c>
      <c r="B4" s="8"/>
      <c r="C4" s="8"/>
      <c r="D4" s="8"/>
      <c r="E4" s="8"/>
    </row>
    <row r="5" spans="1:5" x14ac:dyDescent="0.25">
      <c r="A5" s="1" t="s">
        <v>2204</v>
      </c>
      <c r="B5" s="8"/>
      <c r="C5" s="8"/>
      <c r="D5" s="8"/>
      <c r="E5" s="8"/>
    </row>
    <row r="6" spans="1:5" x14ac:dyDescent="0.25">
      <c r="A6" s="1" t="s">
        <v>2205</v>
      </c>
      <c r="B6" s="8"/>
      <c r="C6" s="8"/>
      <c r="D6" s="8"/>
      <c r="E6" s="8"/>
    </row>
    <row r="7" spans="1:5" x14ac:dyDescent="0.25">
      <c r="A7" s="1" t="s">
        <v>2207</v>
      </c>
      <c r="B7" s="8"/>
      <c r="C7" s="8"/>
      <c r="D7" s="8"/>
      <c r="E7" s="8"/>
    </row>
    <row r="8" spans="1:5" x14ac:dyDescent="0.25">
      <c r="A8" s="1" t="s">
        <v>2206</v>
      </c>
      <c r="B8" s="8"/>
      <c r="C8" s="8"/>
      <c r="D8" s="8"/>
      <c r="E8" s="8"/>
    </row>
    <row r="9" spans="1:5" x14ac:dyDescent="0.25">
      <c r="A9" s="1" t="s">
        <v>2208</v>
      </c>
      <c r="B9" s="8"/>
      <c r="C9" s="8"/>
      <c r="D9" s="8"/>
      <c r="E9" s="8"/>
    </row>
    <row r="10" spans="1:5" x14ac:dyDescent="0.25">
      <c r="A10" s="1" t="s">
        <v>2211</v>
      </c>
      <c r="B10" s="8">
        <v>46311</v>
      </c>
      <c r="C10" s="8"/>
      <c r="D10" s="8"/>
      <c r="E10" s="8"/>
    </row>
    <row r="11" spans="1:5" x14ac:dyDescent="0.25">
      <c r="A11" s="1" t="s">
        <v>2212</v>
      </c>
      <c r="B11" s="8"/>
      <c r="C11" s="8"/>
      <c r="D11" s="8"/>
      <c r="E11" s="8"/>
    </row>
    <row r="12" spans="1:5" x14ac:dyDescent="0.25">
      <c r="A12" s="1" t="s">
        <v>2209</v>
      </c>
      <c r="B12" s="8"/>
      <c r="C12" s="8"/>
      <c r="D12" s="8"/>
      <c r="E12" s="8"/>
    </row>
    <row r="13" spans="1:5" x14ac:dyDescent="0.25">
      <c r="A13" s="1" t="s">
        <v>2213</v>
      </c>
      <c r="B13" s="8"/>
      <c r="C13" s="8"/>
      <c r="D13" s="8"/>
      <c r="E13" s="8"/>
    </row>
    <row r="14" spans="1:5" x14ac:dyDescent="0.25">
      <c r="A14" s="1" t="s">
        <v>2210</v>
      </c>
      <c r="B14" s="8"/>
      <c r="C14" s="8"/>
      <c r="D14" s="8"/>
      <c r="E14" s="8"/>
    </row>
    <row r="15" spans="1:5" x14ac:dyDescent="0.25">
      <c r="A15" s="1" t="s">
        <v>5</v>
      </c>
      <c r="B15" s="8"/>
      <c r="C15" s="8"/>
      <c r="D15" s="8"/>
      <c r="E15" s="8"/>
    </row>
    <row r="16" spans="1:5" x14ac:dyDescent="0.25">
      <c r="A16" s="1" t="s">
        <v>7</v>
      </c>
      <c r="B16" s="8"/>
      <c r="C16" s="8"/>
      <c r="D16" s="8"/>
      <c r="E16" s="8"/>
    </row>
    <row r="17" spans="1:5" x14ac:dyDescent="0.25">
      <c r="A17" s="1" t="s">
        <v>6</v>
      </c>
      <c r="B17" s="8"/>
      <c r="C17" s="8"/>
      <c r="D17" s="8"/>
      <c r="E17" s="8"/>
    </row>
    <row r="18" spans="1:5" x14ac:dyDescent="0.25">
      <c r="A18" s="1" t="s">
        <v>8</v>
      </c>
      <c r="B18" s="8"/>
      <c r="C18" s="8"/>
      <c r="D18" s="8"/>
      <c r="E18" s="8"/>
    </row>
    <row r="19" spans="1:5" x14ac:dyDescent="0.25">
      <c r="A19" s="1" t="s">
        <v>9</v>
      </c>
      <c r="B19" s="8"/>
      <c r="C19" s="8"/>
      <c r="D19" s="8"/>
      <c r="E19" s="8"/>
    </row>
    <row r="20" spans="1:5" x14ac:dyDescent="0.25">
      <c r="A20" s="1" t="s">
        <v>11</v>
      </c>
      <c r="B20" s="8"/>
      <c r="C20" s="8"/>
      <c r="D20" s="8"/>
      <c r="E20" s="8"/>
    </row>
    <row r="21" spans="1:5" x14ac:dyDescent="0.25">
      <c r="A21" s="1" t="s">
        <v>10</v>
      </c>
      <c r="B21" s="8"/>
      <c r="C21" s="8"/>
      <c r="D21" s="8"/>
      <c r="E21" s="8"/>
    </row>
    <row r="22" spans="1:5" x14ac:dyDescent="0.25">
      <c r="A22" s="1" t="s">
        <v>13</v>
      </c>
      <c r="B22" s="8"/>
      <c r="C22" s="8"/>
      <c r="D22" s="8"/>
      <c r="E22" s="8"/>
    </row>
    <row r="23" spans="1:5" x14ac:dyDescent="0.25">
      <c r="A23" s="1" t="s">
        <v>12</v>
      </c>
      <c r="B23" s="8"/>
      <c r="C23" s="8"/>
      <c r="D23" s="8"/>
      <c r="E23" s="8"/>
    </row>
    <row r="24" spans="1:5" x14ac:dyDescent="0.25">
      <c r="A24" s="1" t="s">
        <v>14</v>
      </c>
      <c r="B24" s="8"/>
      <c r="C24" s="8"/>
      <c r="D24" s="8"/>
      <c r="E24" s="8"/>
    </row>
    <row r="25" spans="1:5" x14ac:dyDescent="0.25">
      <c r="A25" s="1" t="s">
        <v>15</v>
      </c>
      <c r="B25" s="8"/>
      <c r="C25" s="8"/>
      <c r="D25" s="8"/>
      <c r="E25" s="8"/>
    </row>
    <row r="26" spans="1:5" x14ac:dyDescent="0.25">
      <c r="A26" s="1" t="s">
        <v>16</v>
      </c>
      <c r="B26" s="8"/>
      <c r="C26" s="8"/>
      <c r="D26" s="8"/>
      <c r="E26" s="8"/>
    </row>
    <row r="27" spans="1:5" x14ac:dyDescent="0.25">
      <c r="A27" s="1" t="s">
        <v>17</v>
      </c>
      <c r="B27" s="8"/>
      <c r="C27" s="8"/>
      <c r="D27" s="8"/>
      <c r="E27" s="8"/>
    </row>
    <row r="28" spans="1:5" x14ac:dyDescent="0.25">
      <c r="A28" s="1" t="s">
        <v>19</v>
      </c>
      <c r="B28" s="8"/>
      <c r="C28" s="8"/>
      <c r="D28" s="8"/>
      <c r="E28" s="8"/>
    </row>
    <row r="29" spans="1:5" x14ac:dyDescent="0.25">
      <c r="A29" s="1" t="s">
        <v>20</v>
      </c>
      <c r="B29" s="8"/>
      <c r="C29" s="8"/>
      <c r="D29" s="8"/>
      <c r="E29" s="8"/>
    </row>
    <row r="30" spans="1:5" x14ac:dyDescent="0.25">
      <c r="A30" s="1" t="s">
        <v>18</v>
      </c>
      <c r="B30" s="8"/>
      <c r="C30" s="8"/>
      <c r="D30" s="8"/>
      <c r="E30" s="8"/>
    </row>
    <row r="31" spans="1:5" x14ac:dyDescent="0.25">
      <c r="A31" s="1" t="s">
        <v>23</v>
      </c>
      <c r="B31" s="8"/>
      <c r="C31" s="8"/>
      <c r="D31" s="8"/>
      <c r="E31" s="8"/>
    </row>
    <row r="32" spans="1:5" x14ac:dyDescent="0.25">
      <c r="A32" s="1" t="s">
        <v>21</v>
      </c>
      <c r="B32" s="8"/>
      <c r="C32" s="8"/>
      <c r="D32" s="8"/>
      <c r="E32" s="8"/>
    </row>
    <row r="33" spans="1:5" x14ac:dyDescent="0.25">
      <c r="A33" s="1" t="s">
        <v>24</v>
      </c>
      <c r="B33" s="8"/>
      <c r="C33" s="8"/>
      <c r="D33" s="8"/>
      <c r="E33" s="8"/>
    </row>
    <row r="34" spans="1:5" x14ac:dyDescent="0.25">
      <c r="A34" s="1" t="s">
        <v>22</v>
      </c>
      <c r="B34" s="8"/>
      <c r="C34" s="8"/>
      <c r="D34" s="8"/>
      <c r="E34" s="8"/>
    </row>
    <row r="35" spans="1:5" x14ac:dyDescent="0.25">
      <c r="A35" s="1" t="s">
        <v>26</v>
      </c>
      <c r="B35" s="8"/>
      <c r="C35" s="8"/>
      <c r="D35" s="8"/>
      <c r="E35" s="8"/>
    </row>
    <row r="36" spans="1:5" x14ac:dyDescent="0.25">
      <c r="A36" s="1" t="s">
        <v>25</v>
      </c>
      <c r="B36" s="8">
        <v>46265</v>
      </c>
      <c r="C36" s="8"/>
      <c r="D36" s="8"/>
      <c r="E36" s="8"/>
    </row>
    <row r="37" spans="1:5" x14ac:dyDescent="0.25">
      <c r="A37" s="1" t="s">
        <v>27</v>
      </c>
      <c r="B37" s="8"/>
      <c r="C37" s="8"/>
      <c r="D37" s="8"/>
      <c r="E37" s="8"/>
    </row>
    <row r="38" spans="1:5" x14ac:dyDescent="0.25">
      <c r="A38" s="1" t="s">
        <v>29</v>
      </c>
      <c r="B38" s="8"/>
      <c r="C38" s="8"/>
      <c r="D38" s="8"/>
      <c r="E38" s="8"/>
    </row>
    <row r="39" spans="1:5" x14ac:dyDescent="0.25">
      <c r="A39" s="1" t="s">
        <v>28</v>
      </c>
      <c r="B39" s="8"/>
      <c r="C39" s="8"/>
      <c r="D39" s="8"/>
      <c r="E39" s="8"/>
    </row>
    <row r="40" spans="1:5" x14ac:dyDescent="0.25">
      <c r="A40" s="1" t="s">
        <v>30</v>
      </c>
      <c r="B40" s="8"/>
      <c r="C40" s="8"/>
      <c r="D40" s="8"/>
      <c r="E40" s="8"/>
    </row>
    <row r="41" spans="1:5" x14ac:dyDescent="0.25">
      <c r="A41" s="1" t="s">
        <v>32</v>
      </c>
      <c r="B41" s="8"/>
      <c r="C41" s="8"/>
      <c r="D41" s="8"/>
      <c r="E41" s="8"/>
    </row>
    <row r="42" spans="1:5" x14ac:dyDescent="0.25">
      <c r="A42" s="1" t="s">
        <v>31</v>
      </c>
      <c r="B42" s="8"/>
      <c r="C42" s="8"/>
      <c r="D42" s="8"/>
      <c r="E42" s="8"/>
    </row>
    <row r="43" spans="1:5" x14ac:dyDescent="0.25">
      <c r="A43" s="1" t="s">
        <v>33</v>
      </c>
      <c r="B43" s="8"/>
      <c r="C43" s="8"/>
      <c r="D43" s="8"/>
      <c r="E43" s="8"/>
    </row>
    <row r="44" spans="1:5" x14ac:dyDescent="0.25">
      <c r="A44" s="1" t="s">
        <v>34</v>
      </c>
      <c r="B44" s="8"/>
      <c r="C44" s="8"/>
      <c r="D44" s="8"/>
      <c r="E44" s="8"/>
    </row>
    <row r="45" spans="1:5" x14ac:dyDescent="0.25">
      <c r="A45" s="1" t="s">
        <v>35</v>
      </c>
      <c r="B45" s="8"/>
      <c r="C45" s="8"/>
      <c r="D45" s="8"/>
      <c r="E45" s="8"/>
    </row>
    <row r="46" spans="1:5" x14ac:dyDescent="0.25">
      <c r="A46" s="1" t="s">
        <v>37</v>
      </c>
      <c r="B46" s="8"/>
      <c r="C46" s="8"/>
      <c r="D46" s="8"/>
      <c r="E46" s="8"/>
    </row>
    <row r="47" spans="1:5" x14ac:dyDescent="0.25">
      <c r="A47" s="1" t="s">
        <v>36</v>
      </c>
      <c r="B47" s="8"/>
      <c r="C47" s="8"/>
      <c r="D47" s="8"/>
      <c r="E47" s="8"/>
    </row>
    <row r="48" spans="1:5" x14ac:dyDescent="0.25">
      <c r="A48" s="1" t="s">
        <v>38</v>
      </c>
      <c r="B48" s="8"/>
      <c r="C48" s="8"/>
      <c r="D48" s="8"/>
      <c r="E48" s="8"/>
    </row>
    <row r="49" spans="1:5" x14ac:dyDescent="0.25">
      <c r="A49" s="1" t="s">
        <v>39</v>
      </c>
      <c r="B49" s="8"/>
      <c r="C49" s="8"/>
      <c r="D49" s="8"/>
      <c r="E49" s="8"/>
    </row>
    <row r="50" spans="1:5" x14ac:dyDescent="0.25">
      <c r="A50" s="1" t="s">
        <v>41</v>
      </c>
      <c r="B50" s="8"/>
      <c r="C50" s="8"/>
      <c r="D50" s="8"/>
      <c r="E50" s="8"/>
    </row>
    <row r="51" spans="1:5" x14ac:dyDescent="0.25">
      <c r="A51" s="1" t="s">
        <v>40</v>
      </c>
      <c r="B51" s="8">
        <v>46294</v>
      </c>
      <c r="C51" s="8"/>
      <c r="D51" s="8"/>
      <c r="E51" s="8"/>
    </row>
    <row r="52" spans="1:5" x14ac:dyDescent="0.25">
      <c r="A52" s="1" t="s">
        <v>42</v>
      </c>
      <c r="B52" s="8"/>
      <c r="C52" s="8"/>
      <c r="D52" s="8"/>
      <c r="E52" s="8"/>
    </row>
    <row r="53" spans="1:5" x14ac:dyDescent="0.25">
      <c r="A53" s="1" t="s">
        <v>43</v>
      </c>
      <c r="B53" s="8"/>
      <c r="C53" s="8"/>
      <c r="D53" s="8"/>
      <c r="E53" s="8"/>
    </row>
    <row r="54" spans="1:5" x14ac:dyDescent="0.25">
      <c r="A54" s="1" t="s">
        <v>44</v>
      </c>
      <c r="B54" s="8"/>
      <c r="C54" s="8"/>
      <c r="D54" s="8"/>
      <c r="E54" s="8"/>
    </row>
    <row r="55" spans="1:5" x14ac:dyDescent="0.25">
      <c r="A55" s="1" t="s">
        <v>46</v>
      </c>
      <c r="B55" s="8"/>
      <c r="C55" s="8"/>
      <c r="D55" s="8"/>
      <c r="E55" s="8"/>
    </row>
    <row r="56" spans="1:5" x14ac:dyDescent="0.25">
      <c r="A56" s="1" t="s">
        <v>45</v>
      </c>
      <c r="B56" s="8"/>
      <c r="C56" s="8"/>
      <c r="D56" s="8"/>
      <c r="E56" s="8"/>
    </row>
    <row r="57" spans="1:5" x14ac:dyDescent="0.25">
      <c r="A57" s="1" t="s">
        <v>47</v>
      </c>
      <c r="B57" s="8"/>
      <c r="C57" s="8"/>
      <c r="D57" s="8"/>
      <c r="E57" s="8"/>
    </row>
    <row r="58" spans="1:5" x14ac:dyDescent="0.25">
      <c r="A58" s="1" t="s">
        <v>48</v>
      </c>
      <c r="B58" s="8"/>
      <c r="C58" s="8"/>
      <c r="D58" s="8"/>
      <c r="E58" s="8"/>
    </row>
    <row r="59" spans="1:5" x14ac:dyDescent="0.25">
      <c r="A59" s="1" t="s">
        <v>49</v>
      </c>
      <c r="B59" s="8"/>
      <c r="C59" s="8"/>
      <c r="D59" s="8"/>
      <c r="E59" s="8"/>
    </row>
    <row r="60" spans="1:5" x14ac:dyDescent="0.25">
      <c r="A60" s="1" t="s">
        <v>50</v>
      </c>
      <c r="B60" s="8"/>
      <c r="C60" s="8"/>
      <c r="D60" s="8"/>
      <c r="E60" s="8"/>
    </row>
    <row r="61" spans="1:5" x14ac:dyDescent="0.25">
      <c r="A61" s="1" t="s">
        <v>2653</v>
      </c>
      <c r="B61" s="8"/>
      <c r="C61" s="8"/>
      <c r="D61" s="8"/>
      <c r="E61" s="8"/>
    </row>
    <row r="62" spans="1:5" x14ac:dyDescent="0.25">
      <c r="A62" s="1" t="s">
        <v>52</v>
      </c>
      <c r="B62" s="8"/>
      <c r="C62" s="8"/>
      <c r="D62" s="8"/>
      <c r="E62" s="8"/>
    </row>
    <row r="63" spans="1:5" x14ac:dyDescent="0.25">
      <c r="A63" s="1" t="s">
        <v>51</v>
      </c>
      <c r="B63" s="8"/>
      <c r="C63" s="8"/>
      <c r="D63" s="8"/>
      <c r="E63" s="8"/>
    </row>
    <row r="64" spans="1:5" x14ac:dyDescent="0.25">
      <c r="A64" s="1" t="s">
        <v>54</v>
      </c>
      <c r="B64" s="8"/>
      <c r="C64" s="8"/>
      <c r="D64" s="8"/>
      <c r="E64" s="8"/>
    </row>
    <row r="65" spans="1:5" x14ac:dyDescent="0.25">
      <c r="A65" s="1" t="s">
        <v>53</v>
      </c>
      <c r="B65" s="8"/>
      <c r="C65" s="8"/>
      <c r="D65" s="8"/>
      <c r="E65" s="8"/>
    </row>
    <row r="66" spans="1:5" x14ac:dyDescent="0.25">
      <c r="A66" s="1" t="s">
        <v>55</v>
      </c>
      <c r="B66" s="8"/>
      <c r="C66" s="8"/>
      <c r="D66" s="8"/>
      <c r="E66" s="8"/>
    </row>
    <row r="67" spans="1:5" x14ac:dyDescent="0.25">
      <c r="A67" s="1" t="s">
        <v>56</v>
      </c>
      <c r="B67" s="8"/>
      <c r="C67" s="8"/>
      <c r="D67" s="8"/>
      <c r="E67" s="8"/>
    </row>
    <row r="68" spans="1:5" x14ac:dyDescent="0.25">
      <c r="A68" s="1" t="s">
        <v>58</v>
      </c>
      <c r="B68" s="8"/>
      <c r="C68" s="8"/>
      <c r="D68" s="8"/>
      <c r="E68" s="8"/>
    </row>
    <row r="69" spans="1:5" x14ac:dyDescent="0.25">
      <c r="A69" s="1" t="s">
        <v>57</v>
      </c>
      <c r="B69" s="8"/>
      <c r="C69" s="8"/>
      <c r="D69" s="8"/>
      <c r="E69" s="8"/>
    </row>
    <row r="70" spans="1:5" x14ac:dyDescent="0.25">
      <c r="A70" s="1" t="s">
        <v>59</v>
      </c>
      <c r="B70" s="8"/>
      <c r="C70" s="8"/>
      <c r="D70" s="8"/>
      <c r="E70" s="8"/>
    </row>
    <row r="71" spans="1:5" x14ac:dyDescent="0.25">
      <c r="A71" s="1" t="s">
        <v>60</v>
      </c>
      <c r="B71" s="8"/>
      <c r="C71" s="8"/>
      <c r="D71" s="8"/>
      <c r="E71" s="8"/>
    </row>
    <row r="72" spans="1:5" x14ac:dyDescent="0.25">
      <c r="A72" s="1" t="s">
        <v>61</v>
      </c>
      <c r="B72" s="8"/>
      <c r="C72" s="8"/>
      <c r="D72" s="8"/>
      <c r="E72" s="8"/>
    </row>
    <row r="73" spans="1:5" x14ac:dyDescent="0.25">
      <c r="A73" s="1" t="s">
        <v>62</v>
      </c>
      <c r="B73" s="8"/>
      <c r="C73" s="8"/>
      <c r="D73" s="8"/>
      <c r="E73" s="8"/>
    </row>
    <row r="74" spans="1:5" x14ac:dyDescent="0.25">
      <c r="A74" s="1" t="s">
        <v>63</v>
      </c>
      <c r="B74" s="8">
        <v>46316</v>
      </c>
      <c r="C74" s="8"/>
      <c r="D74" s="8"/>
      <c r="E74" s="8"/>
    </row>
    <row r="75" spans="1:5" x14ac:dyDescent="0.25">
      <c r="A75" s="1" t="s">
        <v>64</v>
      </c>
      <c r="B75" s="8"/>
      <c r="C75" s="8"/>
      <c r="D75" s="8"/>
      <c r="E75" s="8"/>
    </row>
    <row r="76" spans="1:5" x14ac:dyDescent="0.25">
      <c r="A76" s="1" t="s">
        <v>65</v>
      </c>
      <c r="B76" s="8"/>
      <c r="C76" s="8"/>
      <c r="D76" s="8"/>
      <c r="E76" s="8"/>
    </row>
    <row r="77" spans="1:5" x14ac:dyDescent="0.25">
      <c r="A77" s="1" t="s">
        <v>66</v>
      </c>
      <c r="B77" s="8"/>
      <c r="C77" s="8"/>
      <c r="D77" s="8"/>
      <c r="E77" s="8"/>
    </row>
    <row r="78" spans="1:5" x14ac:dyDescent="0.25">
      <c r="A78" s="1" t="s">
        <v>67</v>
      </c>
      <c r="B78" s="8"/>
      <c r="C78" s="8"/>
      <c r="D78" s="8"/>
      <c r="E78" s="8"/>
    </row>
    <row r="79" spans="1:5" x14ac:dyDescent="0.25">
      <c r="A79" s="1" t="s">
        <v>68</v>
      </c>
      <c r="B79" s="8">
        <v>46322</v>
      </c>
      <c r="C79" s="8"/>
      <c r="D79" s="8"/>
      <c r="E79" s="8"/>
    </row>
    <row r="80" spans="1:5" x14ac:dyDescent="0.25">
      <c r="A80" s="1" t="s">
        <v>69</v>
      </c>
      <c r="B80" s="8"/>
      <c r="C80" s="8"/>
      <c r="D80" s="8"/>
      <c r="E80" s="8"/>
    </row>
    <row r="81" spans="1:5" x14ac:dyDescent="0.25">
      <c r="A81" s="1" t="s">
        <v>71</v>
      </c>
      <c r="B81" s="8"/>
      <c r="C81" s="8"/>
      <c r="D81" s="8"/>
      <c r="E81" s="8"/>
    </row>
    <row r="82" spans="1:5" x14ac:dyDescent="0.25">
      <c r="A82" s="1" t="s">
        <v>70</v>
      </c>
      <c r="B82" s="8"/>
      <c r="C82" s="8"/>
      <c r="D82" s="8"/>
      <c r="E82" s="8"/>
    </row>
    <row r="83" spans="1:5" x14ac:dyDescent="0.25">
      <c r="A83" s="1" t="s">
        <v>72</v>
      </c>
      <c r="B83" s="8"/>
      <c r="C83" s="8"/>
      <c r="D83" s="8"/>
      <c r="E83" s="8"/>
    </row>
    <row r="84" spans="1:5" x14ac:dyDescent="0.25">
      <c r="A84" s="1" t="s">
        <v>73</v>
      </c>
      <c r="B84" s="8"/>
      <c r="C84" s="8"/>
      <c r="D84" s="8"/>
      <c r="E84" s="8"/>
    </row>
    <row r="85" spans="1:5" x14ac:dyDescent="0.25">
      <c r="A85" s="1" t="s">
        <v>74</v>
      </c>
      <c r="B85" s="8">
        <v>46303</v>
      </c>
      <c r="C85" s="8"/>
      <c r="D85" s="8"/>
      <c r="E85" s="8"/>
    </row>
    <row r="86" spans="1:5" x14ac:dyDescent="0.25">
      <c r="A86" s="1" t="s">
        <v>76</v>
      </c>
      <c r="B86" s="8">
        <v>46304</v>
      </c>
      <c r="C86" s="8"/>
      <c r="D86" s="8"/>
      <c r="E86" s="8"/>
    </row>
    <row r="87" spans="1:5" x14ac:dyDescent="0.25">
      <c r="A87" s="1" t="s">
        <v>79</v>
      </c>
      <c r="B87" s="8">
        <v>46316</v>
      </c>
      <c r="C87" s="8"/>
      <c r="D87" s="8"/>
      <c r="E87" s="8"/>
    </row>
    <row r="88" spans="1:5" x14ac:dyDescent="0.25">
      <c r="A88" s="1" t="s">
        <v>77</v>
      </c>
      <c r="B88" s="8">
        <v>46290</v>
      </c>
      <c r="C88" s="8"/>
      <c r="D88" s="8"/>
      <c r="E88" s="8"/>
    </row>
    <row r="89" spans="1:5" x14ac:dyDescent="0.25">
      <c r="A89" s="1" t="s">
        <v>75</v>
      </c>
      <c r="B89" s="8">
        <v>46324</v>
      </c>
      <c r="C89" s="8"/>
      <c r="D89" s="8"/>
      <c r="E89" s="8"/>
    </row>
    <row r="90" spans="1:5" x14ac:dyDescent="0.25">
      <c r="A90" s="1" t="s">
        <v>78</v>
      </c>
      <c r="B90" s="8">
        <v>46316</v>
      </c>
      <c r="C90" s="8"/>
      <c r="D90" s="8"/>
      <c r="E90" s="8"/>
    </row>
    <row r="91" spans="1:5" x14ac:dyDescent="0.25">
      <c r="A91" s="1" t="s">
        <v>80</v>
      </c>
      <c r="B91" s="8">
        <v>46316</v>
      </c>
      <c r="C91" s="8"/>
      <c r="D91" s="8"/>
      <c r="E91" s="8"/>
    </row>
    <row r="92" spans="1:5" x14ac:dyDescent="0.25">
      <c r="A92" s="1" t="s">
        <v>81</v>
      </c>
      <c r="B92" s="8"/>
      <c r="C92" s="8"/>
      <c r="D92" s="8"/>
      <c r="E92" s="8"/>
    </row>
    <row r="93" spans="1:5" x14ac:dyDescent="0.25">
      <c r="A93" s="1" t="s">
        <v>82</v>
      </c>
      <c r="B93" s="8"/>
      <c r="C93" s="8"/>
      <c r="D93" s="8"/>
      <c r="E93" s="8"/>
    </row>
    <row r="94" spans="1:5" x14ac:dyDescent="0.25">
      <c r="A94" s="1" t="s">
        <v>83</v>
      </c>
      <c r="B94" s="8">
        <v>46295</v>
      </c>
      <c r="C94" s="8"/>
      <c r="D94" s="8"/>
      <c r="E94" s="8"/>
    </row>
    <row r="95" spans="1:5" x14ac:dyDescent="0.25">
      <c r="A95" s="1" t="s">
        <v>84</v>
      </c>
      <c r="B95" s="8">
        <v>46273</v>
      </c>
      <c r="C95" s="8"/>
      <c r="D95" s="8"/>
      <c r="E95" s="8"/>
    </row>
    <row r="96" spans="1:5" x14ac:dyDescent="0.25">
      <c r="A96" s="1" t="s">
        <v>86</v>
      </c>
      <c r="B96" s="8"/>
      <c r="C96" s="8"/>
      <c r="D96" s="8"/>
      <c r="E96" s="8"/>
    </row>
    <row r="97" spans="1:5" x14ac:dyDescent="0.25">
      <c r="A97" s="1" t="s">
        <v>85</v>
      </c>
      <c r="B97" s="8">
        <v>46311</v>
      </c>
      <c r="C97" s="8"/>
      <c r="D97" s="8"/>
      <c r="E97" s="8"/>
    </row>
    <row r="98" spans="1:5" x14ac:dyDescent="0.25">
      <c r="A98" s="1" t="s">
        <v>87</v>
      </c>
      <c r="B98" s="8">
        <v>46268</v>
      </c>
      <c r="C98" s="8"/>
      <c r="D98" s="8"/>
      <c r="E98" s="8"/>
    </row>
    <row r="99" spans="1:5" x14ac:dyDescent="0.25">
      <c r="A99" s="1" t="s">
        <v>89</v>
      </c>
      <c r="B99" s="8">
        <v>46210</v>
      </c>
      <c r="C99" s="8"/>
      <c r="D99" s="8"/>
      <c r="E99" s="8"/>
    </row>
    <row r="100" spans="1:5" x14ac:dyDescent="0.25">
      <c r="A100" s="1" t="s">
        <v>90</v>
      </c>
      <c r="B100" s="8">
        <v>46291</v>
      </c>
      <c r="C100" s="8"/>
      <c r="D100" s="8"/>
      <c r="E100" s="8"/>
    </row>
    <row r="101" spans="1:5" x14ac:dyDescent="0.25">
      <c r="A101" s="1" t="s">
        <v>88</v>
      </c>
      <c r="B101" s="8"/>
      <c r="C101" s="8"/>
      <c r="D101" s="8"/>
      <c r="E101" s="8"/>
    </row>
    <row r="102" spans="1:5" x14ac:dyDescent="0.25">
      <c r="A102" s="1" t="s">
        <v>91</v>
      </c>
      <c r="B102" s="8">
        <v>46308</v>
      </c>
      <c r="C102" s="8"/>
      <c r="D102" s="8"/>
      <c r="E102" s="8"/>
    </row>
    <row r="103" spans="1:5" x14ac:dyDescent="0.25">
      <c r="A103" s="1" t="s">
        <v>92</v>
      </c>
      <c r="B103" s="8">
        <v>46308</v>
      </c>
      <c r="C103" s="8"/>
      <c r="D103" s="8"/>
      <c r="E103" s="8"/>
    </row>
    <row r="104" spans="1:5" x14ac:dyDescent="0.25">
      <c r="A104" s="1" t="s">
        <v>94</v>
      </c>
      <c r="B104" s="8">
        <v>46293</v>
      </c>
      <c r="C104" s="8"/>
      <c r="D104" s="8"/>
      <c r="E104" s="8"/>
    </row>
    <row r="105" spans="1:5" x14ac:dyDescent="0.25">
      <c r="A105" s="1" t="s">
        <v>93</v>
      </c>
      <c r="B105" s="8">
        <v>46294</v>
      </c>
      <c r="C105" s="8"/>
      <c r="D105" s="8"/>
      <c r="E105" s="8"/>
    </row>
    <row r="106" spans="1:5" x14ac:dyDescent="0.25">
      <c r="A106" s="1" t="s">
        <v>95</v>
      </c>
      <c r="B106" s="8">
        <v>46270</v>
      </c>
      <c r="C106" s="8"/>
      <c r="D106" s="8"/>
      <c r="E106" s="8"/>
    </row>
    <row r="107" spans="1:5" x14ac:dyDescent="0.25">
      <c r="A107" s="1" t="s">
        <v>96</v>
      </c>
      <c r="B107" s="8">
        <v>46276</v>
      </c>
      <c r="C107" s="8"/>
      <c r="D107" s="8"/>
      <c r="E107" s="8"/>
    </row>
    <row r="108" spans="1:5" x14ac:dyDescent="0.25">
      <c r="A108" s="1" t="s">
        <v>98</v>
      </c>
      <c r="B108" s="8"/>
      <c r="C108" s="8"/>
      <c r="D108" s="8"/>
      <c r="E108" s="8"/>
    </row>
    <row r="109" spans="1:5" x14ac:dyDescent="0.25">
      <c r="A109" s="1" t="s">
        <v>97</v>
      </c>
      <c r="B109" s="8"/>
      <c r="C109" s="8"/>
      <c r="D109" s="8"/>
      <c r="E109" s="8"/>
    </row>
    <row r="110" spans="1:5" x14ac:dyDescent="0.25">
      <c r="A110" s="1" t="s">
        <v>99</v>
      </c>
      <c r="B110" s="8"/>
      <c r="C110" s="8"/>
      <c r="D110" s="8"/>
      <c r="E110" s="8"/>
    </row>
    <row r="111" spans="1:5" x14ac:dyDescent="0.25">
      <c r="A111" s="1" t="s">
        <v>101</v>
      </c>
      <c r="B111" s="8"/>
      <c r="C111" s="8"/>
      <c r="D111" s="8"/>
      <c r="E111" s="8"/>
    </row>
    <row r="112" spans="1:5" x14ac:dyDescent="0.25">
      <c r="A112" s="1" t="s">
        <v>100</v>
      </c>
      <c r="B112" s="8">
        <v>46302</v>
      </c>
      <c r="C112" s="8"/>
      <c r="D112" s="8"/>
      <c r="E112" s="8"/>
    </row>
    <row r="113" spans="1:5" x14ac:dyDescent="0.25">
      <c r="A113" s="1" t="s">
        <v>103</v>
      </c>
      <c r="B113" s="8">
        <v>46270</v>
      </c>
      <c r="C113" s="8"/>
      <c r="D113" s="8"/>
      <c r="E113" s="8"/>
    </row>
    <row r="114" spans="1:5" x14ac:dyDescent="0.25">
      <c r="A114" s="1" t="s">
        <v>102</v>
      </c>
      <c r="B114" s="8">
        <v>46244</v>
      </c>
      <c r="C114" s="8"/>
      <c r="D114" s="8"/>
      <c r="E114" s="8"/>
    </row>
    <row r="115" spans="1:5" x14ac:dyDescent="0.25">
      <c r="A115" s="1" t="s">
        <v>104</v>
      </c>
      <c r="B115" s="8"/>
      <c r="C115" s="8"/>
      <c r="D115" s="8"/>
      <c r="E115" s="8"/>
    </row>
    <row r="116" spans="1:5" x14ac:dyDescent="0.25">
      <c r="A116" s="1" t="s">
        <v>105</v>
      </c>
      <c r="B116" s="8">
        <v>46273</v>
      </c>
      <c r="C116" s="8"/>
      <c r="D116" s="8"/>
      <c r="E116" s="8"/>
    </row>
    <row r="117" spans="1:5" x14ac:dyDescent="0.25">
      <c r="A117" s="1" t="s">
        <v>107</v>
      </c>
      <c r="B117" s="8">
        <v>46257</v>
      </c>
      <c r="C117" s="8"/>
      <c r="D117" s="8"/>
      <c r="E117" s="8"/>
    </row>
    <row r="118" spans="1:5" x14ac:dyDescent="0.25">
      <c r="A118" s="1" t="s">
        <v>108</v>
      </c>
      <c r="B118" s="8">
        <v>46276</v>
      </c>
      <c r="C118" s="8"/>
      <c r="D118" s="8"/>
      <c r="E118" s="8"/>
    </row>
    <row r="119" spans="1:5" x14ac:dyDescent="0.25">
      <c r="A119" s="1" t="s">
        <v>106</v>
      </c>
      <c r="B119" s="8">
        <v>46275</v>
      </c>
      <c r="C119" s="8"/>
      <c r="D119" s="8"/>
      <c r="E119" s="8"/>
    </row>
    <row r="120" spans="1:5" x14ac:dyDescent="0.25">
      <c r="A120" s="1" t="s">
        <v>109</v>
      </c>
      <c r="B120" s="8">
        <v>46272</v>
      </c>
      <c r="C120" s="8"/>
      <c r="D120" s="8"/>
      <c r="E120" s="8"/>
    </row>
    <row r="121" spans="1:5" x14ac:dyDescent="0.25">
      <c r="A121" s="1" t="s">
        <v>111</v>
      </c>
      <c r="B121" s="8">
        <v>46283</v>
      </c>
      <c r="C121" s="8">
        <v>46253</v>
      </c>
      <c r="D121" s="8"/>
      <c r="E121" s="8"/>
    </row>
    <row r="122" spans="1:5" x14ac:dyDescent="0.25">
      <c r="A122" s="1" t="s">
        <v>110</v>
      </c>
      <c r="B122" s="8">
        <v>46251</v>
      </c>
      <c r="C122" s="8"/>
      <c r="D122" s="8"/>
      <c r="E122" s="8"/>
    </row>
    <row r="123" spans="1:5" x14ac:dyDescent="0.25">
      <c r="A123" s="1" t="s">
        <v>113</v>
      </c>
      <c r="B123" s="8"/>
      <c r="C123" s="8"/>
      <c r="D123" s="8"/>
      <c r="E123" s="8"/>
    </row>
    <row r="124" spans="1:5" x14ac:dyDescent="0.25">
      <c r="A124" s="1" t="s">
        <v>112</v>
      </c>
      <c r="B124" s="8"/>
      <c r="C124" s="8"/>
      <c r="D124" s="8"/>
      <c r="E124" s="8"/>
    </row>
    <row r="125" spans="1:5" x14ac:dyDescent="0.25">
      <c r="A125" s="1" t="s">
        <v>117</v>
      </c>
      <c r="B125" s="8"/>
      <c r="C125" s="8"/>
      <c r="D125" s="8"/>
      <c r="E125" s="8"/>
    </row>
    <row r="126" spans="1:5" x14ac:dyDescent="0.25">
      <c r="A126" s="1" t="s">
        <v>114</v>
      </c>
      <c r="B126" s="8"/>
      <c r="C126" s="8"/>
      <c r="D126" s="8"/>
      <c r="E126" s="8"/>
    </row>
    <row r="127" spans="1:5" x14ac:dyDescent="0.25">
      <c r="A127" s="1" t="s">
        <v>116</v>
      </c>
      <c r="B127" s="8">
        <v>46290</v>
      </c>
      <c r="C127" s="8"/>
      <c r="D127" s="8"/>
      <c r="E127" s="8"/>
    </row>
    <row r="128" spans="1:5" x14ac:dyDescent="0.25">
      <c r="A128" s="1" t="s">
        <v>115</v>
      </c>
      <c r="B128" s="8">
        <v>46240</v>
      </c>
      <c r="C128" s="8"/>
      <c r="D128" s="8"/>
      <c r="E128" s="8"/>
    </row>
    <row r="129" spans="1:5" x14ac:dyDescent="0.25">
      <c r="A129" s="1" t="s">
        <v>118</v>
      </c>
      <c r="B129" s="8"/>
      <c r="C129" s="8"/>
      <c r="D129" s="8"/>
      <c r="E129" s="8"/>
    </row>
    <row r="130" spans="1:5" x14ac:dyDescent="0.25">
      <c r="A130" s="1" t="s">
        <v>120</v>
      </c>
      <c r="B130" s="8">
        <v>46275</v>
      </c>
      <c r="C130" s="8"/>
      <c r="D130" s="8"/>
      <c r="E130" s="8"/>
    </row>
    <row r="131" spans="1:5" x14ac:dyDescent="0.25">
      <c r="A131" s="1" t="s">
        <v>121</v>
      </c>
      <c r="B131" s="8">
        <v>46272</v>
      </c>
      <c r="C131" s="8"/>
      <c r="D131" s="8"/>
      <c r="E131" s="8"/>
    </row>
    <row r="132" spans="1:5" x14ac:dyDescent="0.25">
      <c r="A132" s="1" t="s">
        <v>122</v>
      </c>
      <c r="B132" s="8">
        <v>46265</v>
      </c>
      <c r="C132" s="8"/>
      <c r="D132" s="8"/>
      <c r="E132" s="8"/>
    </row>
    <row r="133" spans="1:5" x14ac:dyDescent="0.25">
      <c r="A133" s="1" t="s">
        <v>123</v>
      </c>
      <c r="B133" s="8">
        <v>46280</v>
      </c>
      <c r="C133" s="8"/>
      <c r="D133" s="8"/>
      <c r="E133" s="8"/>
    </row>
    <row r="134" spans="1:5" x14ac:dyDescent="0.25">
      <c r="A134" s="1" t="s">
        <v>119</v>
      </c>
      <c r="B134" s="8">
        <v>46294</v>
      </c>
      <c r="C134" s="8"/>
      <c r="D134" s="8"/>
      <c r="E134" s="8"/>
    </row>
    <row r="135" spans="1:5" x14ac:dyDescent="0.25">
      <c r="A135" s="1" t="s">
        <v>124</v>
      </c>
      <c r="B135" s="8"/>
      <c r="C135" s="8"/>
      <c r="D135" s="8"/>
      <c r="E135" s="8"/>
    </row>
    <row r="136" spans="1:5" x14ac:dyDescent="0.25">
      <c r="A136" s="1" t="s">
        <v>125</v>
      </c>
      <c r="B136" s="8">
        <v>46286</v>
      </c>
      <c r="C136" s="8"/>
      <c r="D136" s="8"/>
      <c r="E136" s="8"/>
    </row>
    <row r="137" spans="1:5" x14ac:dyDescent="0.25">
      <c r="A137" s="1" t="s">
        <v>129</v>
      </c>
      <c r="B137" s="8">
        <v>46269</v>
      </c>
      <c r="C137" s="8"/>
      <c r="D137" s="8"/>
      <c r="E137" s="8"/>
    </row>
    <row r="138" spans="1:5" x14ac:dyDescent="0.25">
      <c r="A138" s="1" t="s">
        <v>128</v>
      </c>
      <c r="B138" s="8"/>
      <c r="C138" s="8"/>
      <c r="D138" s="8"/>
      <c r="E138" s="8"/>
    </row>
    <row r="139" spans="1:5" x14ac:dyDescent="0.25">
      <c r="A139" s="1" t="s">
        <v>126</v>
      </c>
      <c r="B139" s="8">
        <v>46246</v>
      </c>
      <c r="C139" s="8"/>
      <c r="D139" s="8"/>
      <c r="E139" s="8"/>
    </row>
    <row r="140" spans="1:5" x14ac:dyDescent="0.25">
      <c r="A140" s="1" t="s">
        <v>127</v>
      </c>
      <c r="B140" s="8">
        <v>46246</v>
      </c>
      <c r="C140" s="8"/>
      <c r="D140" s="8"/>
      <c r="E140" s="8"/>
    </row>
    <row r="141" spans="1:5" x14ac:dyDescent="0.25">
      <c r="A141" s="1" t="s">
        <v>130</v>
      </c>
      <c r="B141" s="8">
        <v>46246</v>
      </c>
      <c r="C141" s="8"/>
      <c r="D141" s="8"/>
      <c r="E141" s="8"/>
    </row>
    <row r="142" spans="1:5" x14ac:dyDescent="0.25">
      <c r="A142" s="1" t="s">
        <v>132</v>
      </c>
      <c r="B142" s="8">
        <v>46256</v>
      </c>
      <c r="C142" s="8"/>
      <c r="D142" s="8"/>
      <c r="E142" s="8"/>
    </row>
    <row r="143" spans="1:5" x14ac:dyDescent="0.25">
      <c r="A143" s="1" t="s">
        <v>133</v>
      </c>
      <c r="B143" s="8">
        <v>46240</v>
      </c>
      <c r="C143" s="8"/>
      <c r="D143" s="8"/>
      <c r="E143" s="8"/>
    </row>
    <row r="144" spans="1:5" x14ac:dyDescent="0.25">
      <c r="A144" s="1" t="s">
        <v>131</v>
      </c>
      <c r="B144" s="8">
        <v>46276</v>
      </c>
      <c r="C144" s="8"/>
      <c r="D144" s="8"/>
      <c r="E144" s="8"/>
    </row>
    <row r="145" spans="1:5" x14ac:dyDescent="0.25">
      <c r="A145" s="1" t="s">
        <v>137</v>
      </c>
      <c r="B145" s="8">
        <v>46259</v>
      </c>
      <c r="C145" s="8"/>
      <c r="D145" s="8"/>
      <c r="E145" s="8"/>
    </row>
    <row r="146" spans="1:5" x14ac:dyDescent="0.25">
      <c r="A146" s="1" t="s">
        <v>134</v>
      </c>
      <c r="B146" s="8">
        <v>46257</v>
      </c>
      <c r="C146" s="8"/>
      <c r="D146" s="8"/>
      <c r="E146" s="8"/>
    </row>
    <row r="147" spans="1:5" x14ac:dyDescent="0.25">
      <c r="A147" s="1" t="s">
        <v>136</v>
      </c>
      <c r="B147" s="8">
        <v>46207</v>
      </c>
      <c r="C147" s="8"/>
      <c r="D147" s="8"/>
      <c r="E147" s="8"/>
    </row>
    <row r="148" spans="1:5" x14ac:dyDescent="0.25">
      <c r="A148" s="1" t="s">
        <v>135</v>
      </c>
      <c r="B148" s="8">
        <v>46207</v>
      </c>
      <c r="C148" s="8"/>
      <c r="D148" s="8"/>
      <c r="E148" s="8"/>
    </row>
    <row r="149" spans="1:5" x14ac:dyDescent="0.25">
      <c r="A149" s="1" t="s">
        <v>138</v>
      </c>
      <c r="B149" s="8">
        <v>46239</v>
      </c>
      <c r="C149" s="8"/>
      <c r="D149" s="8"/>
      <c r="E149" s="8"/>
    </row>
    <row r="150" spans="1:5" x14ac:dyDescent="0.25">
      <c r="A150" s="1" t="s">
        <v>139</v>
      </c>
      <c r="B150" s="8"/>
      <c r="C150" s="8"/>
      <c r="D150" s="8"/>
      <c r="E150" s="8"/>
    </row>
    <row r="151" spans="1:5" x14ac:dyDescent="0.25">
      <c r="A151" s="1" t="s">
        <v>140</v>
      </c>
      <c r="B151" s="8">
        <v>46274</v>
      </c>
      <c r="C151" s="8"/>
      <c r="D151" s="8"/>
      <c r="E151" s="8"/>
    </row>
    <row r="152" spans="1:5" x14ac:dyDescent="0.25">
      <c r="A152" s="1" t="s">
        <v>141</v>
      </c>
      <c r="B152" s="8"/>
      <c r="C152" s="8"/>
      <c r="D152" s="8"/>
      <c r="E152" s="8"/>
    </row>
    <row r="153" spans="1:5" x14ac:dyDescent="0.25">
      <c r="A153" s="1" t="s">
        <v>143</v>
      </c>
      <c r="B153" s="8">
        <v>46290</v>
      </c>
      <c r="C153" s="8"/>
      <c r="D153" s="8"/>
      <c r="E153" s="8"/>
    </row>
    <row r="154" spans="1:5" x14ac:dyDescent="0.25">
      <c r="A154" s="1" t="s">
        <v>142</v>
      </c>
      <c r="B154" s="8">
        <v>46290</v>
      </c>
      <c r="C154" s="8"/>
      <c r="D154" s="8"/>
      <c r="E154" s="8"/>
    </row>
    <row r="155" spans="1:5" x14ac:dyDescent="0.25">
      <c r="A155" s="1" t="s">
        <v>144</v>
      </c>
      <c r="B155" s="8">
        <v>46247</v>
      </c>
      <c r="C155" s="8"/>
      <c r="D155" s="8"/>
      <c r="E155" s="8"/>
    </row>
    <row r="156" spans="1:5" x14ac:dyDescent="0.25">
      <c r="A156" s="1" t="s">
        <v>146</v>
      </c>
      <c r="B156" s="8">
        <v>46240</v>
      </c>
      <c r="C156" s="8"/>
      <c r="D156" s="8"/>
      <c r="E156" s="8"/>
    </row>
    <row r="157" spans="1:5" x14ac:dyDescent="0.25">
      <c r="A157" s="1" t="s">
        <v>145</v>
      </c>
      <c r="B157" s="8">
        <v>46270</v>
      </c>
      <c r="C157" s="8"/>
      <c r="D157" s="8"/>
      <c r="E157" s="8"/>
    </row>
    <row r="158" spans="1:5" x14ac:dyDescent="0.25">
      <c r="A158" s="1" t="s">
        <v>147</v>
      </c>
      <c r="B158" s="8">
        <v>46289</v>
      </c>
      <c r="C158" s="8"/>
      <c r="D158" s="8"/>
      <c r="E158" s="8"/>
    </row>
    <row r="159" spans="1:5" x14ac:dyDescent="0.25">
      <c r="A159" s="1" t="s">
        <v>148</v>
      </c>
      <c r="B159" s="8">
        <v>46252</v>
      </c>
      <c r="C159" s="8"/>
      <c r="D159" s="8"/>
      <c r="E159" s="8"/>
    </row>
    <row r="160" spans="1:5" x14ac:dyDescent="0.25">
      <c r="A160" s="1" t="s">
        <v>149</v>
      </c>
      <c r="B160" s="8">
        <v>46279</v>
      </c>
      <c r="C160" s="8"/>
      <c r="D160" s="8"/>
      <c r="E160" s="8"/>
    </row>
    <row r="161" spans="1:5" x14ac:dyDescent="0.25">
      <c r="A161" s="1" t="s">
        <v>150</v>
      </c>
      <c r="B161" s="8">
        <v>46269</v>
      </c>
      <c r="C161" s="8"/>
      <c r="D161" s="8"/>
      <c r="E161" s="8"/>
    </row>
    <row r="162" spans="1:5" x14ac:dyDescent="0.25">
      <c r="A162" s="1" t="s">
        <v>152</v>
      </c>
      <c r="B162" s="8">
        <v>46204</v>
      </c>
      <c r="C162" s="8"/>
      <c r="D162" s="8"/>
      <c r="E162" s="8"/>
    </row>
    <row r="163" spans="1:5" x14ac:dyDescent="0.25">
      <c r="A163" s="1" t="s">
        <v>151</v>
      </c>
      <c r="B163" s="8">
        <v>46204</v>
      </c>
      <c r="C163" s="8"/>
      <c r="D163" s="8"/>
      <c r="E163" s="8"/>
    </row>
    <row r="164" spans="1:5" x14ac:dyDescent="0.25">
      <c r="A164" s="1" t="s">
        <v>154</v>
      </c>
      <c r="B164" s="8">
        <v>46270</v>
      </c>
      <c r="C164" s="8"/>
      <c r="D164" s="8"/>
      <c r="E164" s="8"/>
    </row>
    <row r="165" spans="1:5" x14ac:dyDescent="0.25">
      <c r="A165" s="1" t="s">
        <v>153</v>
      </c>
      <c r="B165" s="8">
        <v>46241</v>
      </c>
      <c r="C165" s="8"/>
      <c r="D165" s="8"/>
      <c r="E165" s="8"/>
    </row>
    <row r="166" spans="1:5" x14ac:dyDescent="0.25">
      <c r="A166" s="1" t="s">
        <v>155</v>
      </c>
      <c r="B166" s="8">
        <v>46226</v>
      </c>
      <c r="C166" s="8"/>
      <c r="D166" s="8"/>
      <c r="E166" s="8"/>
    </row>
    <row r="167" spans="1:5" x14ac:dyDescent="0.25">
      <c r="A167" s="1" t="s">
        <v>156</v>
      </c>
      <c r="B167" s="8">
        <v>46221</v>
      </c>
      <c r="C167" s="8"/>
      <c r="D167" s="8"/>
      <c r="E167" s="8"/>
    </row>
    <row r="168" spans="1:5" x14ac:dyDescent="0.25">
      <c r="A168" s="1" t="s">
        <v>158</v>
      </c>
      <c r="B168" s="8">
        <v>46237</v>
      </c>
      <c r="C168" s="8"/>
      <c r="D168" s="8"/>
      <c r="E168" s="8"/>
    </row>
    <row r="169" spans="1:5" x14ac:dyDescent="0.25">
      <c r="A169" s="1" t="s">
        <v>157</v>
      </c>
      <c r="B169" s="8">
        <v>46273</v>
      </c>
      <c r="C169" s="8"/>
      <c r="D169" s="8"/>
      <c r="E169" s="8"/>
    </row>
    <row r="170" spans="1:5" x14ac:dyDescent="0.25">
      <c r="A170" s="1" t="s">
        <v>160</v>
      </c>
      <c r="B170" s="8">
        <v>46211</v>
      </c>
      <c r="C170" s="8"/>
      <c r="D170" s="8"/>
      <c r="E170" s="8"/>
    </row>
    <row r="171" spans="1:5" x14ac:dyDescent="0.25">
      <c r="A171" s="1" t="s">
        <v>159</v>
      </c>
      <c r="B171" s="8">
        <v>46255</v>
      </c>
      <c r="C171" s="8"/>
      <c r="D171" s="8"/>
      <c r="E171" s="8"/>
    </row>
    <row r="172" spans="1:5" x14ac:dyDescent="0.25">
      <c r="A172" s="1" t="s">
        <v>161</v>
      </c>
      <c r="B172" s="8">
        <v>46312</v>
      </c>
      <c r="C172" s="8"/>
      <c r="D172" s="8"/>
      <c r="E172" s="8"/>
    </row>
    <row r="173" spans="1:5" x14ac:dyDescent="0.25">
      <c r="A173" s="1" t="s">
        <v>162</v>
      </c>
      <c r="B173" s="8">
        <v>46246</v>
      </c>
      <c r="C173" s="8"/>
      <c r="D173" s="8"/>
      <c r="E173" s="8"/>
    </row>
    <row r="174" spans="1:5" x14ac:dyDescent="0.25">
      <c r="A174" s="1" t="s">
        <v>164</v>
      </c>
      <c r="B174" s="8">
        <v>46257</v>
      </c>
      <c r="C174" s="8"/>
      <c r="D174" s="8"/>
      <c r="E174" s="8"/>
    </row>
    <row r="175" spans="1:5" x14ac:dyDescent="0.25">
      <c r="A175" s="1" t="s">
        <v>163</v>
      </c>
      <c r="B175" s="8">
        <v>46251</v>
      </c>
      <c r="C175" s="8"/>
      <c r="D175" s="8"/>
      <c r="E175" s="8"/>
    </row>
    <row r="176" spans="1:5" x14ac:dyDescent="0.25">
      <c r="A176" s="1" t="s">
        <v>166</v>
      </c>
      <c r="B176" s="8">
        <v>46211</v>
      </c>
      <c r="C176" s="8"/>
      <c r="D176" s="8"/>
      <c r="E176" s="8"/>
    </row>
    <row r="177" spans="1:5" x14ac:dyDescent="0.25">
      <c r="A177" s="1" t="s">
        <v>167</v>
      </c>
      <c r="B177" s="8">
        <v>46239</v>
      </c>
      <c r="C177" s="8"/>
      <c r="D177" s="8"/>
      <c r="E177" s="8"/>
    </row>
    <row r="178" spans="1:5" x14ac:dyDescent="0.25">
      <c r="A178" s="1" t="s">
        <v>165</v>
      </c>
      <c r="B178" s="8">
        <v>46211</v>
      </c>
      <c r="C178" s="8"/>
      <c r="D178" s="8"/>
      <c r="E178" s="8"/>
    </row>
    <row r="179" spans="1:5" x14ac:dyDescent="0.25">
      <c r="A179" s="1" t="s">
        <v>169</v>
      </c>
      <c r="B179" s="8">
        <v>45735</v>
      </c>
      <c r="C179" s="8"/>
      <c r="D179" s="8"/>
      <c r="E179" s="8"/>
    </row>
    <row r="180" spans="1:5" x14ac:dyDescent="0.25">
      <c r="A180" s="1" t="s">
        <v>168</v>
      </c>
      <c r="B180" s="8">
        <v>46204</v>
      </c>
      <c r="C180" s="8"/>
      <c r="D180" s="8"/>
      <c r="E180" s="8"/>
    </row>
    <row r="181" spans="1:5" x14ac:dyDescent="0.25">
      <c r="A181" s="1" t="s">
        <v>172</v>
      </c>
      <c r="B181" s="8">
        <v>46232</v>
      </c>
      <c r="C181" s="8"/>
      <c r="D181" s="8"/>
      <c r="E181" s="8"/>
    </row>
    <row r="182" spans="1:5" x14ac:dyDescent="0.25">
      <c r="A182" s="1" t="s">
        <v>170</v>
      </c>
      <c r="B182" s="8">
        <v>46213</v>
      </c>
      <c r="C182" s="8"/>
      <c r="D182" s="8"/>
      <c r="E182" s="8"/>
    </row>
    <row r="183" spans="1:5" x14ac:dyDescent="0.25">
      <c r="A183" s="1" t="s">
        <v>171</v>
      </c>
      <c r="B183" s="8">
        <v>46225</v>
      </c>
      <c r="C183" s="8"/>
      <c r="D183" s="8"/>
      <c r="E183" s="8"/>
    </row>
    <row r="184" spans="1:5" x14ac:dyDescent="0.25">
      <c r="A184" s="1" t="s">
        <v>173</v>
      </c>
      <c r="B184" s="8">
        <v>46235</v>
      </c>
      <c r="C184" s="8"/>
      <c r="D184" s="8"/>
      <c r="E184" s="8"/>
    </row>
    <row r="185" spans="1:5" x14ac:dyDescent="0.25">
      <c r="A185" s="1" t="s">
        <v>174</v>
      </c>
      <c r="B185" s="8">
        <v>46253</v>
      </c>
      <c r="C185" s="8"/>
      <c r="D185" s="8"/>
      <c r="E185" s="8"/>
    </row>
    <row r="186" spans="1:5" x14ac:dyDescent="0.25">
      <c r="A186" s="1" t="s">
        <v>175</v>
      </c>
      <c r="B186" s="8">
        <v>46253</v>
      </c>
      <c r="C186" s="8"/>
      <c r="D186" s="8"/>
      <c r="E186" s="8"/>
    </row>
    <row r="187" spans="1:5" x14ac:dyDescent="0.25">
      <c r="A187" s="1" t="s">
        <v>178</v>
      </c>
      <c r="B187" s="8">
        <v>46216</v>
      </c>
      <c r="C187" s="8"/>
      <c r="D187" s="8"/>
      <c r="E187" s="8"/>
    </row>
    <row r="188" spans="1:5" x14ac:dyDescent="0.25">
      <c r="A188" s="1" t="s">
        <v>181</v>
      </c>
      <c r="B188" s="8">
        <v>46216</v>
      </c>
      <c r="C188" s="8"/>
      <c r="D188" s="8"/>
      <c r="E188" s="8"/>
    </row>
    <row r="189" spans="1:5" x14ac:dyDescent="0.25">
      <c r="A189" s="1" t="s">
        <v>177</v>
      </c>
      <c r="B189" s="8">
        <v>46216</v>
      </c>
      <c r="C189" s="8"/>
      <c r="D189" s="8"/>
      <c r="E189" s="8"/>
    </row>
    <row r="190" spans="1:5" x14ac:dyDescent="0.25">
      <c r="A190" s="1" t="s">
        <v>176</v>
      </c>
      <c r="B190" s="8">
        <v>46216</v>
      </c>
      <c r="C190" s="8"/>
      <c r="D190" s="8"/>
      <c r="E190" s="8"/>
    </row>
    <row r="191" spans="1:5" x14ac:dyDescent="0.25">
      <c r="A191" s="1" t="s">
        <v>179</v>
      </c>
      <c r="B191" s="8">
        <v>46216</v>
      </c>
      <c r="C191" s="8"/>
      <c r="D191" s="8"/>
      <c r="E191" s="8"/>
    </row>
    <row r="192" spans="1:5" x14ac:dyDescent="0.25">
      <c r="A192" s="1" t="s">
        <v>182</v>
      </c>
      <c r="B192" s="8">
        <v>46212</v>
      </c>
      <c r="C192" s="8"/>
      <c r="D192" s="8"/>
      <c r="E192" s="8"/>
    </row>
    <row r="193" spans="1:5" x14ac:dyDescent="0.25">
      <c r="A193" s="1" t="s">
        <v>180</v>
      </c>
      <c r="B193" s="8">
        <v>46216</v>
      </c>
      <c r="C193" s="8"/>
      <c r="D193" s="8"/>
      <c r="E193" s="8"/>
    </row>
    <row r="194" spans="1:5" x14ac:dyDescent="0.25">
      <c r="A194" s="1" t="s">
        <v>183</v>
      </c>
      <c r="B194" s="8">
        <v>46193</v>
      </c>
      <c r="C194" s="8"/>
      <c r="D194" s="8"/>
      <c r="E194" s="8"/>
    </row>
    <row r="195" spans="1:5" x14ac:dyDescent="0.25">
      <c r="A195" s="1" t="s">
        <v>184</v>
      </c>
      <c r="B195" s="8">
        <v>46204</v>
      </c>
      <c r="C195" s="8"/>
      <c r="D195" s="8"/>
      <c r="E195" s="8"/>
    </row>
    <row r="196" spans="1:5" x14ac:dyDescent="0.25">
      <c r="A196" s="1" t="s">
        <v>185</v>
      </c>
      <c r="B196" s="8">
        <v>46211</v>
      </c>
      <c r="C196" s="8"/>
      <c r="D196" s="8"/>
      <c r="E196" s="8"/>
    </row>
    <row r="197" spans="1:5" x14ac:dyDescent="0.25">
      <c r="A197" s="1" t="s">
        <v>186</v>
      </c>
      <c r="B197" s="8">
        <v>46211</v>
      </c>
      <c r="C197" s="8"/>
      <c r="D197" s="8"/>
      <c r="E197" s="8"/>
    </row>
    <row r="198" spans="1:5" x14ac:dyDescent="0.25">
      <c r="A198" s="1" t="s">
        <v>190</v>
      </c>
      <c r="B198" s="8">
        <v>46198</v>
      </c>
      <c r="C198" s="8"/>
      <c r="D198" s="8"/>
      <c r="E198" s="8"/>
    </row>
    <row r="199" spans="1:5" x14ac:dyDescent="0.25">
      <c r="A199" s="1" t="s">
        <v>187</v>
      </c>
      <c r="B199" s="8"/>
      <c r="C199" s="8"/>
      <c r="D199" s="8"/>
      <c r="E199" s="8"/>
    </row>
    <row r="200" spans="1:5" x14ac:dyDescent="0.25">
      <c r="A200" s="1" t="s">
        <v>189</v>
      </c>
      <c r="B200" s="8">
        <v>46198</v>
      </c>
      <c r="C200" s="8"/>
      <c r="D200" s="8"/>
      <c r="E200" s="8"/>
    </row>
    <row r="201" spans="1:5" x14ac:dyDescent="0.25">
      <c r="A201" s="1" t="s">
        <v>188</v>
      </c>
      <c r="B201" s="8"/>
      <c r="C201" s="8"/>
      <c r="D201" s="8"/>
      <c r="E201" s="8"/>
    </row>
    <row r="202" spans="1:5" x14ac:dyDescent="0.25">
      <c r="A202" s="1" t="s">
        <v>192</v>
      </c>
      <c r="B202" s="8">
        <v>46211</v>
      </c>
      <c r="C202" s="8"/>
      <c r="D202" s="8"/>
      <c r="E202" s="8"/>
    </row>
    <row r="203" spans="1:5" x14ac:dyDescent="0.25">
      <c r="A203" s="1" t="s">
        <v>191</v>
      </c>
      <c r="B203" s="8">
        <v>46225</v>
      </c>
      <c r="C203" s="8"/>
      <c r="D203" s="8"/>
      <c r="E203" s="8"/>
    </row>
    <row r="204" spans="1:5" x14ac:dyDescent="0.25">
      <c r="A204" s="1" t="s">
        <v>193</v>
      </c>
      <c r="B204" s="8">
        <v>46225</v>
      </c>
      <c r="C204" s="8"/>
      <c r="D204" s="8"/>
      <c r="E204" s="8"/>
    </row>
    <row r="205" spans="1:5" x14ac:dyDescent="0.25">
      <c r="A205" s="1" t="s">
        <v>194</v>
      </c>
      <c r="B205" s="8">
        <v>46216</v>
      </c>
      <c r="C205" s="8"/>
      <c r="D205" s="8"/>
      <c r="E205" s="8"/>
    </row>
    <row r="206" spans="1:5" x14ac:dyDescent="0.25">
      <c r="A206" s="1" t="s">
        <v>195</v>
      </c>
      <c r="B206" s="8"/>
      <c r="C206" s="8"/>
      <c r="D206" s="8"/>
      <c r="E206" s="8"/>
    </row>
    <row r="207" spans="1:5" x14ac:dyDescent="0.25">
      <c r="A207" s="1" t="s">
        <v>196</v>
      </c>
      <c r="B207" s="8">
        <v>46213</v>
      </c>
      <c r="C207" s="8"/>
      <c r="D207" s="8"/>
      <c r="E207" s="8"/>
    </row>
    <row r="208" spans="1:5" x14ac:dyDescent="0.25">
      <c r="A208" s="1" t="s">
        <v>197</v>
      </c>
      <c r="B208" s="8">
        <v>46241</v>
      </c>
      <c r="C208" s="8"/>
      <c r="D208" s="8"/>
      <c r="E208" s="8"/>
    </row>
    <row r="209" spans="1:5" x14ac:dyDescent="0.25">
      <c r="A209" s="1" t="s">
        <v>199</v>
      </c>
      <c r="B209" s="8">
        <v>46219</v>
      </c>
      <c r="C209" s="8"/>
      <c r="D209" s="8"/>
      <c r="E209" s="8"/>
    </row>
    <row r="210" spans="1:5" x14ac:dyDescent="0.25">
      <c r="A210" s="1" t="s">
        <v>200</v>
      </c>
      <c r="B210" s="8">
        <v>46199</v>
      </c>
      <c r="C210" s="8"/>
      <c r="D210" s="8"/>
      <c r="E210" s="8"/>
    </row>
    <row r="211" spans="1:5" x14ac:dyDescent="0.25">
      <c r="A211" s="1" t="s">
        <v>198</v>
      </c>
      <c r="B211" s="8">
        <v>46231</v>
      </c>
      <c r="C211" s="8"/>
      <c r="D211" s="8"/>
      <c r="E211" s="8"/>
    </row>
    <row r="212" spans="1:5" x14ac:dyDescent="0.25">
      <c r="A212" s="1" t="s">
        <v>201</v>
      </c>
      <c r="B212" s="8"/>
      <c r="C212" s="8"/>
      <c r="D212" s="8"/>
      <c r="E212" s="8"/>
    </row>
    <row r="213" spans="1:5" x14ac:dyDescent="0.25">
      <c r="A213" s="1" t="s">
        <v>202</v>
      </c>
      <c r="B213" s="8">
        <v>46171</v>
      </c>
      <c r="C213" s="8"/>
      <c r="D213" s="8"/>
      <c r="E213" s="8"/>
    </row>
    <row r="214" spans="1:5" x14ac:dyDescent="0.25">
      <c r="A214" s="1" t="s">
        <v>203</v>
      </c>
      <c r="B214" s="8">
        <v>46184</v>
      </c>
      <c r="C214" s="8"/>
      <c r="D214" s="8"/>
      <c r="E214" s="8"/>
    </row>
    <row r="215" spans="1:5" x14ac:dyDescent="0.25">
      <c r="A215" s="1" t="s">
        <v>205</v>
      </c>
      <c r="B215" s="8">
        <v>46268</v>
      </c>
      <c r="C215" s="8"/>
      <c r="D215" s="8"/>
      <c r="E215" s="8"/>
    </row>
    <row r="216" spans="1:5" x14ac:dyDescent="0.25">
      <c r="A216" s="1" t="s">
        <v>204</v>
      </c>
      <c r="B216" s="8">
        <v>46293</v>
      </c>
      <c r="C216" s="8">
        <v>46288</v>
      </c>
      <c r="D216" s="8"/>
      <c r="E216" s="8"/>
    </row>
    <row r="217" spans="1:5" x14ac:dyDescent="0.25">
      <c r="A217" s="1" t="s">
        <v>206</v>
      </c>
      <c r="B217" s="8">
        <v>46211</v>
      </c>
      <c r="C217" s="8"/>
      <c r="D217" s="8"/>
      <c r="E217" s="8"/>
    </row>
    <row r="218" spans="1:5" x14ac:dyDescent="0.25">
      <c r="A218" s="1" t="s">
        <v>209</v>
      </c>
      <c r="B218" s="8">
        <v>46193</v>
      </c>
      <c r="C218" s="8"/>
      <c r="D218" s="8"/>
      <c r="E218" s="8"/>
    </row>
    <row r="219" spans="1:5" x14ac:dyDescent="0.25">
      <c r="A219" s="1" t="s">
        <v>208</v>
      </c>
      <c r="B219" s="8">
        <v>46193</v>
      </c>
      <c r="C219" s="8"/>
      <c r="D219" s="8"/>
      <c r="E219" s="8"/>
    </row>
    <row r="220" spans="1:5" x14ac:dyDescent="0.25">
      <c r="A220" s="1" t="s">
        <v>210</v>
      </c>
      <c r="B220" s="8">
        <v>46193</v>
      </c>
      <c r="C220" s="8"/>
      <c r="D220" s="8"/>
      <c r="E220" s="8"/>
    </row>
    <row r="221" spans="1:5" x14ac:dyDescent="0.25">
      <c r="A221" s="1" t="s">
        <v>207</v>
      </c>
      <c r="B221" s="8">
        <v>46193</v>
      </c>
      <c r="C221" s="8"/>
      <c r="D221" s="8"/>
      <c r="E221" s="8"/>
    </row>
    <row r="222" spans="1:5" x14ac:dyDescent="0.25">
      <c r="A222" s="1" t="s">
        <v>211</v>
      </c>
      <c r="B222" s="8">
        <v>46276</v>
      </c>
      <c r="C222" s="8">
        <v>46154</v>
      </c>
      <c r="D222" s="8"/>
      <c r="E222" s="8"/>
    </row>
    <row r="223" spans="1:5" x14ac:dyDescent="0.25">
      <c r="A223" s="1" t="s">
        <v>212</v>
      </c>
      <c r="B223" s="8">
        <v>46322</v>
      </c>
      <c r="C223" s="8"/>
      <c r="D223" s="8"/>
      <c r="E223" s="8"/>
    </row>
    <row r="224" spans="1:5" x14ac:dyDescent="0.25">
      <c r="A224" s="1" t="s">
        <v>213</v>
      </c>
      <c r="B224" s="8">
        <v>46148</v>
      </c>
      <c r="C224" s="8"/>
      <c r="D224" s="8"/>
      <c r="E224" s="8"/>
    </row>
    <row r="225" spans="1:5" x14ac:dyDescent="0.25">
      <c r="A225" s="1" t="s">
        <v>214</v>
      </c>
      <c r="B225" s="8">
        <v>46178</v>
      </c>
      <c r="C225" s="8"/>
      <c r="D225" s="8"/>
      <c r="E225" s="8"/>
    </row>
    <row r="226" spans="1:5" x14ac:dyDescent="0.25">
      <c r="A226" s="1" t="s">
        <v>215</v>
      </c>
      <c r="B226" s="8">
        <v>46149</v>
      </c>
      <c r="C226" s="8"/>
      <c r="D226" s="8"/>
      <c r="E226" s="8"/>
    </row>
    <row r="227" spans="1:5" x14ac:dyDescent="0.25">
      <c r="A227" s="1" t="s">
        <v>218</v>
      </c>
      <c r="B227" s="8">
        <v>46198</v>
      </c>
      <c r="C227" s="8"/>
      <c r="D227" s="8"/>
      <c r="E227" s="8"/>
    </row>
    <row r="228" spans="1:5" x14ac:dyDescent="0.25">
      <c r="A228" s="1" t="s">
        <v>216</v>
      </c>
      <c r="B228" s="8">
        <v>46169</v>
      </c>
      <c r="C228" s="8"/>
      <c r="D228" s="8"/>
      <c r="E228" s="8"/>
    </row>
    <row r="229" spans="1:5" x14ac:dyDescent="0.25">
      <c r="A229" s="1" t="s">
        <v>217</v>
      </c>
      <c r="B229" s="8">
        <v>46213</v>
      </c>
      <c r="C229" s="8"/>
      <c r="D229" s="8"/>
      <c r="E229" s="8"/>
    </row>
    <row r="230" spans="1:5" x14ac:dyDescent="0.25">
      <c r="A230" s="1" t="s">
        <v>219</v>
      </c>
      <c r="B230" s="8">
        <v>46198</v>
      </c>
      <c r="C230" s="8"/>
      <c r="D230" s="8"/>
      <c r="E230" s="8"/>
    </row>
    <row r="231" spans="1:5" x14ac:dyDescent="0.25">
      <c r="A231" s="1" t="s">
        <v>220</v>
      </c>
      <c r="B231" s="8">
        <v>46231</v>
      </c>
      <c r="C231" s="8"/>
      <c r="D231" s="8"/>
      <c r="E231" s="8"/>
    </row>
    <row r="232" spans="1:5" x14ac:dyDescent="0.25">
      <c r="A232" s="1" t="s">
        <v>221</v>
      </c>
      <c r="B232" s="8">
        <v>46317</v>
      </c>
      <c r="C232" s="8">
        <v>46161</v>
      </c>
      <c r="D232" s="8"/>
      <c r="E232" s="8"/>
    </row>
    <row r="233" spans="1:5" x14ac:dyDescent="0.25">
      <c r="A233" s="1" t="s">
        <v>223</v>
      </c>
      <c r="B233" s="8">
        <v>46325</v>
      </c>
      <c r="C233" s="8">
        <v>46150</v>
      </c>
      <c r="D233" s="8"/>
      <c r="E233" s="8"/>
    </row>
    <row r="234" spans="1:5" x14ac:dyDescent="0.25">
      <c r="A234" s="1" t="s">
        <v>222</v>
      </c>
      <c r="B234" s="8">
        <v>46210</v>
      </c>
      <c r="C234" s="8"/>
      <c r="D234" s="8"/>
      <c r="E234" s="8"/>
    </row>
    <row r="235" spans="1:5" x14ac:dyDescent="0.25">
      <c r="A235" s="1" t="s">
        <v>224</v>
      </c>
      <c r="B235" s="8">
        <v>46184</v>
      </c>
      <c r="C235" s="8"/>
      <c r="D235" s="8"/>
      <c r="E235" s="8"/>
    </row>
    <row r="236" spans="1:5" x14ac:dyDescent="0.25">
      <c r="A236" s="1" t="s">
        <v>225</v>
      </c>
      <c r="B236" s="8"/>
      <c r="C236" s="8"/>
      <c r="D236" s="8"/>
      <c r="E236" s="8"/>
    </row>
    <row r="237" spans="1:5" x14ac:dyDescent="0.25">
      <c r="A237" s="1" t="s">
        <v>227</v>
      </c>
      <c r="B237" s="8"/>
      <c r="C237" s="8"/>
      <c r="D237" s="8"/>
      <c r="E237" s="8"/>
    </row>
    <row r="238" spans="1:5" x14ac:dyDescent="0.25">
      <c r="A238" s="1" t="s">
        <v>226</v>
      </c>
      <c r="B238" s="8">
        <v>46303</v>
      </c>
      <c r="C238" s="8">
        <v>46105</v>
      </c>
      <c r="D238" s="8"/>
      <c r="E238" s="8"/>
    </row>
    <row r="239" spans="1:5" x14ac:dyDescent="0.25">
      <c r="A239" s="1" t="s">
        <v>229</v>
      </c>
      <c r="B239" s="8">
        <v>46317</v>
      </c>
      <c r="C239" s="8">
        <v>46169</v>
      </c>
      <c r="D239" s="8"/>
      <c r="E239" s="8"/>
    </row>
    <row r="240" spans="1:5" x14ac:dyDescent="0.25">
      <c r="A240" s="1" t="s">
        <v>228</v>
      </c>
      <c r="B240" s="8">
        <v>46326</v>
      </c>
      <c r="C240" s="8">
        <v>46245</v>
      </c>
      <c r="D240" s="8"/>
      <c r="E240" s="8"/>
    </row>
    <row r="241" spans="1:5" x14ac:dyDescent="0.25">
      <c r="A241" s="1" t="s">
        <v>230</v>
      </c>
      <c r="B241" s="8">
        <v>46205</v>
      </c>
      <c r="C241" s="8"/>
      <c r="D241" s="8"/>
      <c r="E241" s="8"/>
    </row>
    <row r="242" spans="1:5" x14ac:dyDescent="0.25">
      <c r="A242" s="1" t="s">
        <v>231</v>
      </c>
      <c r="B242" s="8">
        <v>46178</v>
      </c>
      <c r="C242" s="8"/>
      <c r="D242" s="8"/>
      <c r="E242" s="8"/>
    </row>
    <row r="243" spans="1:5" x14ac:dyDescent="0.25">
      <c r="A243" s="1" t="s">
        <v>232</v>
      </c>
      <c r="B243" s="8">
        <v>46270</v>
      </c>
      <c r="C243" s="8">
        <v>46171</v>
      </c>
      <c r="D243" s="8"/>
      <c r="E243" s="8"/>
    </row>
    <row r="244" spans="1:5" x14ac:dyDescent="0.25">
      <c r="A244" s="1" t="s">
        <v>234</v>
      </c>
      <c r="B244" s="8">
        <v>46318</v>
      </c>
      <c r="C244" s="8">
        <v>46198</v>
      </c>
      <c r="D244" s="8">
        <v>46141</v>
      </c>
      <c r="E244" s="8"/>
    </row>
    <row r="245" spans="1:5" x14ac:dyDescent="0.25">
      <c r="A245" s="1" t="s">
        <v>233</v>
      </c>
      <c r="B245" s="8">
        <v>46176</v>
      </c>
      <c r="C245" s="8"/>
      <c r="D245" s="8"/>
      <c r="E245" s="8"/>
    </row>
    <row r="246" spans="1:5" x14ac:dyDescent="0.25">
      <c r="A246" s="1" t="s">
        <v>235</v>
      </c>
      <c r="B246" s="8">
        <v>46176</v>
      </c>
      <c r="C246" s="8"/>
      <c r="D246" s="8"/>
      <c r="E246" s="8"/>
    </row>
    <row r="247" spans="1:5" x14ac:dyDescent="0.25">
      <c r="A247" s="1" t="s">
        <v>236</v>
      </c>
      <c r="B247" s="8">
        <v>46140</v>
      </c>
      <c r="C247" s="8"/>
      <c r="D247" s="8"/>
      <c r="E247" s="8"/>
    </row>
    <row r="248" spans="1:5" x14ac:dyDescent="0.25">
      <c r="A248" s="1" t="s">
        <v>237</v>
      </c>
      <c r="B248" s="8">
        <v>46178</v>
      </c>
      <c r="C248" s="8">
        <v>46123</v>
      </c>
      <c r="D248" s="8"/>
      <c r="E248" s="8"/>
    </row>
    <row r="249" spans="1:5" x14ac:dyDescent="0.25">
      <c r="A249" s="1" t="s">
        <v>239</v>
      </c>
      <c r="B249" s="8">
        <v>46130</v>
      </c>
      <c r="C249" s="8"/>
      <c r="D249" s="8"/>
      <c r="E249" s="8"/>
    </row>
    <row r="250" spans="1:5" x14ac:dyDescent="0.25">
      <c r="A250" s="1" t="s">
        <v>238</v>
      </c>
      <c r="B250" s="8">
        <v>46149</v>
      </c>
      <c r="C250" s="8"/>
      <c r="D250" s="8"/>
      <c r="E250" s="8"/>
    </row>
    <row r="251" spans="1:5" x14ac:dyDescent="0.25">
      <c r="A251" s="1" t="s">
        <v>241</v>
      </c>
      <c r="B251" s="8">
        <v>46312</v>
      </c>
      <c r="C251" s="8">
        <v>46133</v>
      </c>
      <c r="D251" s="8"/>
      <c r="E251" s="8"/>
    </row>
    <row r="252" spans="1:5" x14ac:dyDescent="0.25">
      <c r="A252" s="1" t="s">
        <v>242</v>
      </c>
      <c r="B252" s="8">
        <v>46312</v>
      </c>
      <c r="C252" s="8">
        <v>46136</v>
      </c>
      <c r="D252" s="8"/>
      <c r="E252" s="8"/>
    </row>
    <row r="253" spans="1:5" x14ac:dyDescent="0.25">
      <c r="A253" s="1" t="s">
        <v>240</v>
      </c>
      <c r="B253" s="8">
        <v>46312</v>
      </c>
      <c r="C253" s="8">
        <v>46136</v>
      </c>
      <c r="D253" s="8"/>
      <c r="E253" s="8"/>
    </row>
    <row r="254" spans="1:5" x14ac:dyDescent="0.25">
      <c r="A254" s="1" t="s">
        <v>243</v>
      </c>
      <c r="B254" s="8">
        <v>46322</v>
      </c>
      <c r="C254" s="8">
        <v>46182</v>
      </c>
      <c r="D254" s="8"/>
      <c r="E254" s="8"/>
    </row>
    <row r="255" spans="1:5" x14ac:dyDescent="0.25">
      <c r="A255" s="1" t="s">
        <v>244</v>
      </c>
      <c r="B255" s="8">
        <v>46216</v>
      </c>
      <c r="C255" s="8"/>
      <c r="D255" s="8"/>
      <c r="E255" s="8"/>
    </row>
    <row r="256" spans="1:5" x14ac:dyDescent="0.25">
      <c r="A256" s="1" t="s">
        <v>245</v>
      </c>
      <c r="B256" s="8">
        <v>46155</v>
      </c>
      <c r="C256" s="8"/>
      <c r="D256" s="8"/>
      <c r="E256" s="8"/>
    </row>
    <row r="257" spans="1:5" x14ac:dyDescent="0.25">
      <c r="A257" s="1" t="s">
        <v>246</v>
      </c>
      <c r="B257" s="8">
        <v>46216</v>
      </c>
      <c r="C257" s="8"/>
      <c r="D257" s="8"/>
      <c r="E257" s="8"/>
    </row>
    <row r="258" spans="1:5" x14ac:dyDescent="0.25">
      <c r="A258" s="1" t="s">
        <v>247</v>
      </c>
      <c r="B258" s="8">
        <v>46316</v>
      </c>
      <c r="C258" s="8">
        <v>46139</v>
      </c>
      <c r="D258" s="8"/>
      <c r="E258" s="8"/>
    </row>
    <row r="259" spans="1:5" x14ac:dyDescent="0.25">
      <c r="A259" s="1" t="s">
        <v>250</v>
      </c>
      <c r="B259" s="8">
        <v>46287</v>
      </c>
      <c r="C259" s="8">
        <v>46205</v>
      </c>
      <c r="D259" s="8"/>
      <c r="E259" s="8"/>
    </row>
    <row r="260" spans="1:5" x14ac:dyDescent="0.25">
      <c r="A260" s="1" t="s">
        <v>249</v>
      </c>
      <c r="B260" s="8">
        <v>46293</v>
      </c>
      <c r="C260" s="8">
        <v>46205</v>
      </c>
      <c r="D260" s="8"/>
      <c r="E260" s="8"/>
    </row>
    <row r="261" spans="1:5" x14ac:dyDescent="0.25">
      <c r="A261" s="1" t="s">
        <v>248</v>
      </c>
      <c r="B261" s="8">
        <v>46293</v>
      </c>
      <c r="C261" s="8">
        <v>46205</v>
      </c>
      <c r="D261" s="8"/>
      <c r="E261" s="8"/>
    </row>
    <row r="262" spans="1:5" x14ac:dyDescent="0.25">
      <c r="A262" s="1" t="s">
        <v>253</v>
      </c>
      <c r="B262" s="8">
        <v>46291</v>
      </c>
      <c r="C262" s="8">
        <v>46148</v>
      </c>
      <c r="D262" s="8"/>
      <c r="E262" s="8"/>
    </row>
    <row r="263" spans="1:5" x14ac:dyDescent="0.25">
      <c r="A263" s="1" t="s">
        <v>251</v>
      </c>
      <c r="B263" s="8">
        <v>46280</v>
      </c>
      <c r="C263" s="8">
        <v>46148</v>
      </c>
      <c r="D263" s="8"/>
      <c r="E263" s="8"/>
    </row>
    <row r="264" spans="1:5" x14ac:dyDescent="0.25">
      <c r="A264" s="1" t="s">
        <v>252</v>
      </c>
      <c r="B264" s="8">
        <v>46291</v>
      </c>
      <c r="C264" s="8">
        <v>46148</v>
      </c>
      <c r="D264" s="8"/>
      <c r="E264" s="8"/>
    </row>
    <row r="265" spans="1:5" x14ac:dyDescent="0.25">
      <c r="A265" s="1" t="s">
        <v>254</v>
      </c>
      <c r="B265" s="8">
        <v>46255</v>
      </c>
      <c r="C265" s="8">
        <v>46169</v>
      </c>
      <c r="D265" s="8"/>
      <c r="E265" s="8"/>
    </row>
    <row r="266" spans="1:5" x14ac:dyDescent="0.25">
      <c r="A266" s="1" t="s">
        <v>255</v>
      </c>
      <c r="B266" s="8">
        <v>46178</v>
      </c>
      <c r="C266" s="8"/>
      <c r="D266" s="8"/>
      <c r="E266" s="8"/>
    </row>
    <row r="267" spans="1:5" x14ac:dyDescent="0.25">
      <c r="A267" s="1" t="s">
        <v>256</v>
      </c>
      <c r="B267" s="8">
        <v>46302</v>
      </c>
      <c r="C267" s="8">
        <v>46138</v>
      </c>
      <c r="D267" s="8"/>
      <c r="E267" s="8"/>
    </row>
    <row r="268" spans="1:5" x14ac:dyDescent="0.25">
      <c r="A268" s="1" t="s">
        <v>257</v>
      </c>
      <c r="B268" s="8">
        <v>46302</v>
      </c>
      <c r="C268" s="8">
        <v>46136</v>
      </c>
      <c r="D268" s="8"/>
      <c r="E268" s="8"/>
    </row>
    <row r="269" spans="1:5" x14ac:dyDescent="0.25">
      <c r="A269" s="1" t="s">
        <v>259</v>
      </c>
      <c r="B269" s="8">
        <v>46269</v>
      </c>
      <c r="C269" s="8">
        <v>46136</v>
      </c>
      <c r="D269" s="8"/>
      <c r="E269" s="8"/>
    </row>
    <row r="270" spans="1:5" x14ac:dyDescent="0.25">
      <c r="A270" s="1" t="s">
        <v>258</v>
      </c>
      <c r="B270" s="8">
        <v>46302</v>
      </c>
      <c r="C270" s="8">
        <v>46138</v>
      </c>
      <c r="D270" s="8"/>
      <c r="E270" s="8"/>
    </row>
    <row r="271" spans="1:5" x14ac:dyDescent="0.25">
      <c r="A271" s="1" t="s">
        <v>260</v>
      </c>
      <c r="B271" s="8">
        <v>46310</v>
      </c>
      <c r="C271" s="8">
        <v>46150</v>
      </c>
      <c r="D271" s="8"/>
      <c r="E271" s="8"/>
    </row>
    <row r="272" spans="1:5" x14ac:dyDescent="0.25">
      <c r="A272" s="1" t="s">
        <v>261</v>
      </c>
      <c r="B272" s="8">
        <v>46267</v>
      </c>
      <c r="C272" s="8">
        <v>46156</v>
      </c>
      <c r="D272" s="8"/>
      <c r="E272" s="8"/>
    </row>
    <row r="273" spans="1:5" x14ac:dyDescent="0.25">
      <c r="A273" s="1" t="s">
        <v>262</v>
      </c>
      <c r="B273" s="8">
        <v>46293</v>
      </c>
      <c r="C273" s="8">
        <v>46203</v>
      </c>
      <c r="D273" s="8"/>
      <c r="E273" s="8"/>
    </row>
    <row r="274" spans="1:5" x14ac:dyDescent="0.25">
      <c r="A274" s="1" t="s">
        <v>263</v>
      </c>
      <c r="B274" s="8">
        <v>46283</v>
      </c>
      <c r="C274" s="8"/>
      <c r="D274" s="8"/>
      <c r="E274" s="8"/>
    </row>
    <row r="275" spans="1:5" x14ac:dyDescent="0.25">
      <c r="A275" s="1" t="s">
        <v>264</v>
      </c>
      <c r="B275" s="8">
        <v>46319</v>
      </c>
      <c r="C275" s="8">
        <v>46231</v>
      </c>
      <c r="D275" s="8"/>
      <c r="E275" s="8"/>
    </row>
    <row r="276" spans="1:5" x14ac:dyDescent="0.25">
      <c r="A276" s="1" t="s">
        <v>265</v>
      </c>
      <c r="B276" s="8">
        <v>46325</v>
      </c>
      <c r="C276" s="8">
        <v>46190</v>
      </c>
      <c r="D276" s="8"/>
      <c r="E276" s="8"/>
    </row>
    <row r="277" spans="1:5" x14ac:dyDescent="0.25">
      <c r="A277" s="1" t="s">
        <v>266</v>
      </c>
      <c r="B277" s="8">
        <v>46300</v>
      </c>
      <c r="C277" s="8">
        <v>46198</v>
      </c>
      <c r="D277" s="8"/>
      <c r="E277" s="8"/>
    </row>
    <row r="278" spans="1:5" x14ac:dyDescent="0.25">
      <c r="A278" s="1" t="s">
        <v>267</v>
      </c>
      <c r="B278" s="8">
        <v>46244</v>
      </c>
      <c r="C278" s="8">
        <v>46141</v>
      </c>
      <c r="D278" s="8">
        <v>46106</v>
      </c>
      <c r="E278" s="8"/>
    </row>
    <row r="279" spans="1:5" x14ac:dyDescent="0.25">
      <c r="A279" s="1" t="s">
        <v>268</v>
      </c>
      <c r="B279" s="8">
        <v>46269</v>
      </c>
      <c r="C279" s="8">
        <v>46114</v>
      </c>
      <c r="D279" s="8"/>
      <c r="E279" s="8"/>
    </row>
    <row r="280" spans="1:5" x14ac:dyDescent="0.25">
      <c r="A280" s="1" t="s">
        <v>269</v>
      </c>
      <c r="B280" s="8">
        <v>46257</v>
      </c>
      <c r="C280" s="8">
        <v>46099</v>
      </c>
      <c r="D280" s="8"/>
      <c r="E280" s="8"/>
    </row>
    <row r="281" spans="1:5" x14ac:dyDescent="0.25">
      <c r="A281" s="1" t="s">
        <v>270</v>
      </c>
      <c r="B281" s="8">
        <v>46317</v>
      </c>
      <c r="C281" s="8">
        <v>46104</v>
      </c>
      <c r="D281" s="8"/>
      <c r="E281" s="8"/>
    </row>
    <row r="282" spans="1:5" x14ac:dyDescent="0.25">
      <c r="A282" s="1" t="s">
        <v>271</v>
      </c>
      <c r="B282" s="8">
        <v>46308</v>
      </c>
      <c r="C282" s="8">
        <v>46146</v>
      </c>
      <c r="D282" s="8"/>
      <c r="E282" s="8"/>
    </row>
    <row r="283" spans="1:5" x14ac:dyDescent="0.25">
      <c r="A283" s="1" t="s">
        <v>272</v>
      </c>
      <c r="B283" s="8">
        <v>46280</v>
      </c>
      <c r="C283" s="8">
        <v>46116</v>
      </c>
      <c r="D283" s="8"/>
      <c r="E283" s="8"/>
    </row>
    <row r="284" spans="1:5" x14ac:dyDescent="0.25">
      <c r="A284" s="1" t="s">
        <v>273</v>
      </c>
      <c r="B284" s="8">
        <v>46302</v>
      </c>
      <c r="C284" s="8">
        <v>46136</v>
      </c>
      <c r="D284" s="8"/>
      <c r="E284" s="8"/>
    </row>
    <row r="285" spans="1:5" x14ac:dyDescent="0.25">
      <c r="A285" s="1" t="s">
        <v>274</v>
      </c>
      <c r="B285" s="8">
        <v>46244</v>
      </c>
      <c r="C285" s="8">
        <v>46161</v>
      </c>
      <c r="D285" s="8"/>
      <c r="E285" s="8"/>
    </row>
    <row r="286" spans="1:5" x14ac:dyDescent="0.25">
      <c r="A286" s="1" t="s">
        <v>275</v>
      </c>
      <c r="B286" s="8"/>
      <c r="C286" s="8"/>
      <c r="D286" s="8"/>
      <c r="E286" s="8"/>
    </row>
    <row r="287" spans="1:5" x14ac:dyDescent="0.25">
      <c r="A287" s="1" t="s">
        <v>276</v>
      </c>
      <c r="B287" s="8">
        <v>46204</v>
      </c>
      <c r="C287" s="8">
        <v>46099</v>
      </c>
      <c r="D287" s="8"/>
      <c r="E287" s="8"/>
    </row>
    <row r="288" spans="1:5" x14ac:dyDescent="0.25">
      <c r="A288" s="1" t="s">
        <v>278</v>
      </c>
      <c r="B288" s="8"/>
      <c r="C288" s="8"/>
      <c r="D288" s="8"/>
      <c r="E288" s="8"/>
    </row>
    <row r="289" spans="1:5" x14ac:dyDescent="0.25">
      <c r="A289" s="1" t="s">
        <v>277</v>
      </c>
      <c r="B289" s="8"/>
      <c r="C289" s="8"/>
      <c r="D289" s="8"/>
      <c r="E289" s="8"/>
    </row>
    <row r="290" spans="1:5" x14ac:dyDescent="0.25">
      <c r="A290" s="1" t="s">
        <v>280</v>
      </c>
      <c r="B290" s="8">
        <v>46209</v>
      </c>
      <c r="C290" s="8">
        <v>46087</v>
      </c>
      <c r="D290" s="8"/>
      <c r="E290" s="8"/>
    </row>
    <row r="291" spans="1:5" x14ac:dyDescent="0.25">
      <c r="A291" s="1" t="s">
        <v>282</v>
      </c>
      <c r="B291" s="8">
        <v>46199</v>
      </c>
      <c r="C291" s="8"/>
      <c r="D291" s="8"/>
      <c r="E291" s="8"/>
    </row>
    <row r="292" spans="1:5" x14ac:dyDescent="0.25">
      <c r="A292" s="1" t="s">
        <v>281</v>
      </c>
      <c r="B292" s="8">
        <v>46244</v>
      </c>
      <c r="C292" s="8">
        <v>46134</v>
      </c>
      <c r="D292" s="8"/>
      <c r="E292" s="8"/>
    </row>
    <row r="293" spans="1:5" x14ac:dyDescent="0.25">
      <c r="A293" s="1" t="s">
        <v>279</v>
      </c>
      <c r="B293" s="8">
        <v>46307</v>
      </c>
      <c r="C293" s="8">
        <v>46153</v>
      </c>
      <c r="D293" s="8"/>
      <c r="E293" s="8"/>
    </row>
    <row r="294" spans="1:5" x14ac:dyDescent="0.25">
      <c r="A294" s="1" t="s">
        <v>284</v>
      </c>
      <c r="B294" s="8">
        <v>46268</v>
      </c>
      <c r="C294" s="8">
        <v>46104</v>
      </c>
      <c r="D294" s="8"/>
      <c r="E294" s="8"/>
    </row>
    <row r="295" spans="1:5" x14ac:dyDescent="0.25">
      <c r="A295" s="1" t="s">
        <v>283</v>
      </c>
      <c r="B295" s="8">
        <v>46196</v>
      </c>
      <c r="C295" s="8"/>
      <c r="D295" s="8"/>
      <c r="E295" s="8"/>
    </row>
    <row r="296" spans="1:5" x14ac:dyDescent="0.25">
      <c r="A296" s="1" t="s">
        <v>285</v>
      </c>
      <c r="B296" s="8">
        <v>46245</v>
      </c>
      <c r="C296" s="8">
        <v>46140</v>
      </c>
      <c r="D296" s="8"/>
      <c r="E296" s="8"/>
    </row>
    <row r="297" spans="1:5" x14ac:dyDescent="0.25">
      <c r="A297" s="1" t="s">
        <v>286</v>
      </c>
      <c r="B297" s="8">
        <v>46273</v>
      </c>
      <c r="C297" s="8">
        <v>46140</v>
      </c>
      <c r="D297" s="8"/>
      <c r="E297" s="8"/>
    </row>
    <row r="298" spans="1:5" x14ac:dyDescent="0.25">
      <c r="A298" s="1" t="s">
        <v>287</v>
      </c>
      <c r="B298" s="8">
        <v>46245</v>
      </c>
      <c r="C298" s="8">
        <v>46065</v>
      </c>
      <c r="D298" s="8"/>
      <c r="E298" s="8"/>
    </row>
    <row r="299" spans="1:5" x14ac:dyDescent="0.25">
      <c r="A299" s="1" t="s">
        <v>292</v>
      </c>
      <c r="B299" s="8">
        <v>46276</v>
      </c>
      <c r="C299" s="8">
        <v>46106</v>
      </c>
      <c r="D299" s="8"/>
      <c r="E299" s="8"/>
    </row>
    <row r="300" spans="1:5" x14ac:dyDescent="0.25">
      <c r="A300" s="1" t="s">
        <v>289</v>
      </c>
      <c r="B300" s="8">
        <v>46280</v>
      </c>
      <c r="C300" s="8">
        <v>46108</v>
      </c>
      <c r="D300" s="8"/>
      <c r="E300" s="8"/>
    </row>
    <row r="301" spans="1:5" x14ac:dyDescent="0.25">
      <c r="A301" s="1" t="s">
        <v>291</v>
      </c>
      <c r="B301" s="8">
        <v>46220</v>
      </c>
      <c r="C301" s="8">
        <v>46062</v>
      </c>
      <c r="D301" s="8"/>
      <c r="E301" s="8"/>
    </row>
    <row r="302" spans="1:5" x14ac:dyDescent="0.25">
      <c r="A302" s="1" t="s">
        <v>288</v>
      </c>
      <c r="B302" s="8">
        <v>46290</v>
      </c>
      <c r="C302" s="8">
        <v>46104</v>
      </c>
      <c r="D302" s="8"/>
      <c r="E302" s="8"/>
    </row>
    <row r="303" spans="1:5" x14ac:dyDescent="0.25">
      <c r="A303" s="1" t="s">
        <v>290</v>
      </c>
      <c r="B303" s="8">
        <v>46280</v>
      </c>
      <c r="C303" s="8">
        <v>46108</v>
      </c>
      <c r="D303" s="8"/>
      <c r="E303" s="8"/>
    </row>
    <row r="304" spans="1:5" x14ac:dyDescent="0.25">
      <c r="A304" s="1" t="s">
        <v>293</v>
      </c>
      <c r="B304" s="8">
        <v>46265</v>
      </c>
      <c r="C304" s="8">
        <v>46099</v>
      </c>
      <c r="D304" s="8"/>
      <c r="E304" s="8"/>
    </row>
    <row r="305" spans="1:5" x14ac:dyDescent="0.25">
      <c r="A305" s="1" t="s">
        <v>294</v>
      </c>
      <c r="B305" s="8">
        <v>46241</v>
      </c>
      <c r="C305" s="8">
        <v>46098</v>
      </c>
      <c r="D305" s="8"/>
      <c r="E305" s="8"/>
    </row>
    <row r="306" spans="1:5" x14ac:dyDescent="0.25">
      <c r="A306" s="1" t="s">
        <v>297</v>
      </c>
      <c r="B306" s="8">
        <v>46270</v>
      </c>
      <c r="C306" s="8">
        <v>46109</v>
      </c>
      <c r="D306" s="8"/>
      <c r="E306" s="8"/>
    </row>
    <row r="307" spans="1:5" x14ac:dyDescent="0.25">
      <c r="A307" s="1" t="s">
        <v>298</v>
      </c>
      <c r="B307" s="8">
        <v>46270</v>
      </c>
      <c r="C307" s="8">
        <v>46109</v>
      </c>
      <c r="D307" s="8"/>
      <c r="E307" s="8"/>
    </row>
    <row r="308" spans="1:5" x14ac:dyDescent="0.25">
      <c r="A308" s="1" t="s">
        <v>295</v>
      </c>
      <c r="B308" s="8">
        <v>46270</v>
      </c>
      <c r="C308" s="8">
        <v>46109</v>
      </c>
      <c r="D308" s="8"/>
      <c r="E308" s="8"/>
    </row>
    <row r="309" spans="1:5" x14ac:dyDescent="0.25">
      <c r="A309" s="1" t="s">
        <v>300</v>
      </c>
      <c r="B309" s="8">
        <v>46270</v>
      </c>
      <c r="C309" s="8">
        <v>46109</v>
      </c>
      <c r="D309" s="8"/>
      <c r="E309" s="8"/>
    </row>
    <row r="310" spans="1:5" x14ac:dyDescent="0.25">
      <c r="A310" s="1" t="s">
        <v>296</v>
      </c>
      <c r="B310" s="8">
        <v>46270</v>
      </c>
      <c r="C310" s="8">
        <v>46109</v>
      </c>
      <c r="D310" s="8"/>
      <c r="E310" s="8"/>
    </row>
    <row r="311" spans="1:5" x14ac:dyDescent="0.25">
      <c r="A311" s="1" t="s">
        <v>299</v>
      </c>
      <c r="B311" s="8">
        <v>46270</v>
      </c>
      <c r="C311" s="8">
        <v>46109</v>
      </c>
      <c r="D311" s="8"/>
      <c r="E311" s="8"/>
    </row>
    <row r="312" spans="1:5" x14ac:dyDescent="0.25">
      <c r="A312" s="1" t="s">
        <v>301</v>
      </c>
      <c r="B312" s="8">
        <v>46210</v>
      </c>
      <c r="C312" s="8"/>
      <c r="D312" s="8"/>
      <c r="E312" s="8"/>
    </row>
    <row r="313" spans="1:5" x14ac:dyDescent="0.25">
      <c r="A313" s="1" t="s">
        <v>302</v>
      </c>
      <c r="B313" s="8">
        <v>46245</v>
      </c>
      <c r="C313" s="8">
        <v>46133</v>
      </c>
      <c r="D313" s="8"/>
      <c r="E313" s="8"/>
    </row>
    <row r="314" spans="1:5" x14ac:dyDescent="0.25">
      <c r="A314" s="1" t="s">
        <v>303</v>
      </c>
      <c r="B314" s="8">
        <v>46245</v>
      </c>
      <c r="C314" s="8">
        <v>46127</v>
      </c>
      <c r="D314" s="8"/>
      <c r="E314" s="8"/>
    </row>
    <row r="315" spans="1:5" x14ac:dyDescent="0.25">
      <c r="A315" s="1" t="s">
        <v>304</v>
      </c>
      <c r="B315" s="8">
        <v>46182</v>
      </c>
      <c r="C315" s="8">
        <v>46060</v>
      </c>
      <c r="D315" s="8"/>
      <c r="E315" s="8"/>
    </row>
    <row r="316" spans="1:5" x14ac:dyDescent="0.25">
      <c r="A316" s="1" t="s">
        <v>305</v>
      </c>
      <c r="B316" s="8">
        <v>46185</v>
      </c>
      <c r="C316" s="8">
        <v>46065</v>
      </c>
      <c r="D316" s="8"/>
      <c r="E316" s="8"/>
    </row>
    <row r="317" spans="1:5" x14ac:dyDescent="0.25">
      <c r="A317" s="1" t="s">
        <v>306</v>
      </c>
      <c r="B317" s="8">
        <v>46240</v>
      </c>
      <c r="C317" s="8">
        <v>46081</v>
      </c>
      <c r="D317" s="8"/>
      <c r="E317" s="8"/>
    </row>
    <row r="318" spans="1:5" x14ac:dyDescent="0.25">
      <c r="A318" s="1" t="s">
        <v>307</v>
      </c>
      <c r="B318" s="8">
        <v>46197</v>
      </c>
      <c r="C318" s="8">
        <v>46141</v>
      </c>
      <c r="D318" s="8"/>
      <c r="E318" s="8"/>
    </row>
    <row r="319" spans="1:5" x14ac:dyDescent="0.25">
      <c r="A319" s="1" t="s">
        <v>308</v>
      </c>
      <c r="B319" s="8">
        <v>46265</v>
      </c>
      <c r="C319" s="8">
        <v>46140</v>
      </c>
      <c r="D319" s="8"/>
      <c r="E319" s="8"/>
    </row>
    <row r="320" spans="1:5" x14ac:dyDescent="0.25">
      <c r="A320" s="1" t="s">
        <v>309</v>
      </c>
      <c r="B320" s="8">
        <v>46227</v>
      </c>
      <c r="C320" s="8">
        <v>46073</v>
      </c>
      <c r="D320" s="8"/>
      <c r="E320" s="8"/>
    </row>
    <row r="321" spans="1:5" x14ac:dyDescent="0.25">
      <c r="A321" s="1" t="s">
        <v>312</v>
      </c>
      <c r="B321" s="8">
        <v>46199</v>
      </c>
      <c r="C321" s="8">
        <v>46154</v>
      </c>
      <c r="D321" s="8"/>
      <c r="E321" s="8"/>
    </row>
    <row r="322" spans="1:5" x14ac:dyDescent="0.25">
      <c r="A322" s="1" t="s">
        <v>310</v>
      </c>
      <c r="B322" s="8">
        <v>46199</v>
      </c>
      <c r="C322" s="8">
        <v>46154</v>
      </c>
      <c r="D322" s="8"/>
      <c r="E322" s="8"/>
    </row>
    <row r="323" spans="1:5" x14ac:dyDescent="0.25">
      <c r="A323" s="1" t="s">
        <v>311</v>
      </c>
      <c r="B323" s="8"/>
      <c r="C323" s="8"/>
      <c r="D323" s="8"/>
      <c r="E323" s="8"/>
    </row>
    <row r="324" spans="1:5" x14ac:dyDescent="0.25">
      <c r="A324" s="1" t="s">
        <v>314</v>
      </c>
      <c r="B324" s="8">
        <v>46268</v>
      </c>
      <c r="C324" s="8">
        <v>46162</v>
      </c>
      <c r="D324" s="8"/>
      <c r="E324" s="8"/>
    </row>
    <row r="325" spans="1:5" x14ac:dyDescent="0.25">
      <c r="A325" s="1" t="s">
        <v>313</v>
      </c>
      <c r="B325" s="8">
        <v>46265</v>
      </c>
      <c r="C325" s="8">
        <v>46178</v>
      </c>
      <c r="D325" s="8"/>
      <c r="E325" s="8"/>
    </row>
    <row r="326" spans="1:5" x14ac:dyDescent="0.25">
      <c r="A326" s="1" t="s">
        <v>315</v>
      </c>
      <c r="B326" s="8">
        <v>46275</v>
      </c>
      <c r="C326" s="8">
        <v>46206</v>
      </c>
      <c r="D326" s="8"/>
      <c r="E326" s="8"/>
    </row>
    <row r="327" spans="1:5" x14ac:dyDescent="0.25">
      <c r="A327" s="1" t="s">
        <v>320</v>
      </c>
      <c r="B327" s="8"/>
      <c r="C327" s="8"/>
      <c r="D327" s="8"/>
      <c r="E327" s="8"/>
    </row>
    <row r="328" spans="1:5" x14ac:dyDescent="0.25">
      <c r="A328" s="1" t="s">
        <v>316</v>
      </c>
      <c r="B328" s="8"/>
      <c r="C328" s="8"/>
      <c r="D328" s="8"/>
      <c r="E328" s="8"/>
    </row>
    <row r="329" spans="1:5" x14ac:dyDescent="0.25">
      <c r="A329" s="1" t="s">
        <v>317</v>
      </c>
      <c r="B329" s="8"/>
      <c r="C329" s="8"/>
      <c r="D329" s="8"/>
      <c r="E329" s="8"/>
    </row>
    <row r="330" spans="1:5" x14ac:dyDescent="0.25">
      <c r="A330" s="1" t="s">
        <v>319</v>
      </c>
      <c r="B330" s="8"/>
      <c r="C330" s="8"/>
      <c r="D330" s="8"/>
      <c r="E330" s="8"/>
    </row>
    <row r="331" spans="1:5" x14ac:dyDescent="0.25">
      <c r="A331" s="1" t="s">
        <v>318</v>
      </c>
      <c r="B331" s="8"/>
      <c r="C331" s="8"/>
      <c r="D331" s="8"/>
      <c r="E331" s="8"/>
    </row>
    <row r="332" spans="1:5" x14ac:dyDescent="0.25">
      <c r="A332" s="1" t="s">
        <v>322</v>
      </c>
      <c r="B332" s="8">
        <v>46136</v>
      </c>
      <c r="C332" s="8">
        <v>46109</v>
      </c>
      <c r="D332" s="8"/>
      <c r="E332" s="8"/>
    </row>
    <row r="333" spans="1:5" x14ac:dyDescent="0.25">
      <c r="A333" s="1" t="s">
        <v>323</v>
      </c>
      <c r="B333" s="8">
        <v>46189</v>
      </c>
      <c r="C333" s="8">
        <v>46109</v>
      </c>
      <c r="D333" s="8"/>
      <c r="E333" s="8"/>
    </row>
    <row r="334" spans="1:5" x14ac:dyDescent="0.25">
      <c r="A334" s="1" t="s">
        <v>321</v>
      </c>
      <c r="B334" s="8">
        <v>46189</v>
      </c>
      <c r="C334" s="8">
        <v>46109</v>
      </c>
      <c r="D334" s="8"/>
      <c r="E334" s="8"/>
    </row>
    <row r="335" spans="1:5" x14ac:dyDescent="0.25">
      <c r="A335" s="1" t="s">
        <v>324</v>
      </c>
      <c r="B335" s="8">
        <v>46160</v>
      </c>
      <c r="C335" s="8">
        <v>46073</v>
      </c>
      <c r="D335" s="8"/>
      <c r="E335" s="8"/>
    </row>
    <row r="336" spans="1:5" x14ac:dyDescent="0.25">
      <c r="A336" s="1" t="s">
        <v>325</v>
      </c>
      <c r="B336" s="8">
        <v>46219</v>
      </c>
      <c r="C336" s="8">
        <v>46078</v>
      </c>
      <c r="D336" s="8"/>
      <c r="E336" s="8"/>
    </row>
    <row r="337" spans="1:5" x14ac:dyDescent="0.25">
      <c r="A337" s="1" t="s">
        <v>326</v>
      </c>
      <c r="B337" s="8">
        <v>46219</v>
      </c>
      <c r="C337" s="8">
        <v>46078</v>
      </c>
      <c r="D337" s="8"/>
      <c r="E337" s="8"/>
    </row>
    <row r="338" spans="1:5" x14ac:dyDescent="0.25">
      <c r="A338" s="1" t="s">
        <v>327</v>
      </c>
      <c r="B338" s="8">
        <v>46175</v>
      </c>
      <c r="C338" s="8">
        <v>46069</v>
      </c>
      <c r="D338" s="8"/>
      <c r="E338" s="8"/>
    </row>
    <row r="339" spans="1:5" x14ac:dyDescent="0.25">
      <c r="A339" s="1" t="s">
        <v>329</v>
      </c>
      <c r="B339" s="8">
        <v>46241</v>
      </c>
      <c r="C339" s="8">
        <v>46098</v>
      </c>
      <c r="D339" s="8"/>
      <c r="E339" s="8"/>
    </row>
    <row r="340" spans="1:5" x14ac:dyDescent="0.25">
      <c r="A340" s="1" t="s">
        <v>328</v>
      </c>
      <c r="B340" s="8">
        <v>46156</v>
      </c>
      <c r="C340" s="8">
        <v>46034</v>
      </c>
      <c r="D340" s="8"/>
      <c r="E340" s="8"/>
    </row>
    <row r="341" spans="1:5" x14ac:dyDescent="0.25">
      <c r="A341" s="1" t="s">
        <v>330</v>
      </c>
      <c r="B341" s="8">
        <v>46155</v>
      </c>
      <c r="C341" s="8"/>
      <c r="D341" s="8"/>
      <c r="E341" s="8"/>
    </row>
    <row r="342" spans="1:5" x14ac:dyDescent="0.25">
      <c r="A342" s="1" t="s">
        <v>331</v>
      </c>
      <c r="B342" s="8">
        <v>46195</v>
      </c>
      <c r="C342" s="8">
        <v>46058</v>
      </c>
      <c r="D342" s="8"/>
      <c r="E342" s="8"/>
    </row>
    <row r="343" spans="1:5" x14ac:dyDescent="0.25">
      <c r="A343" s="1" t="s">
        <v>333</v>
      </c>
      <c r="B343" s="8">
        <v>46307</v>
      </c>
      <c r="C343" s="8">
        <v>46153</v>
      </c>
      <c r="D343" s="8"/>
      <c r="E343" s="8"/>
    </row>
    <row r="344" spans="1:5" x14ac:dyDescent="0.25">
      <c r="A344" s="1" t="s">
        <v>332</v>
      </c>
      <c r="B344" s="8">
        <v>46246</v>
      </c>
      <c r="C344" s="8">
        <v>46044</v>
      </c>
      <c r="D344" s="8"/>
      <c r="E344" s="8"/>
    </row>
    <row r="345" spans="1:5" x14ac:dyDescent="0.25">
      <c r="A345" s="1" t="s">
        <v>335</v>
      </c>
      <c r="B345" s="8">
        <v>46190</v>
      </c>
      <c r="C345" s="8">
        <v>46074</v>
      </c>
      <c r="D345" s="8"/>
      <c r="E345" s="8"/>
    </row>
    <row r="346" spans="1:5" x14ac:dyDescent="0.25">
      <c r="A346" s="1" t="s">
        <v>334</v>
      </c>
      <c r="B346" s="8">
        <v>46181</v>
      </c>
      <c r="C346" s="8">
        <v>46045</v>
      </c>
      <c r="D346" s="8"/>
      <c r="E346" s="8"/>
    </row>
    <row r="347" spans="1:5" x14ac:dyDescent="0.25">
      <c r="A347" s="1" t="s">
        <v>336</v>
      </c>
      <c r="B347" s="8">
        <v>46209</v>
      </c>
      <c r="C347" s="8">
        <v>46085</v>
      </c>
      <c r="D347" s="8"/>
      <c r="E347" s="8"/>
    </row>
    <row r="348" spans="1:5" x14ac:dyDescent="0.25">
      <c r="A348" s="1" t="s">
        <v>337</v>
      </c>
      <c r="B348" s="8">
        <v>46212</v>
      </c>
      <c r="C348" s="8">
        <v>46031</v>
      </c>
      <c r="D348" s="8"/>
      <c r="E348" s="8"/>
    </row>
    <row r="349" spans="1:5" x14ac:dyDescent="0.25">
      <c r="A349" s="1" t="s">
        <v>338</v>
      </c>
      <c r="B349" s="8"/>
      <c r="C349" s="8"/>
      <c r="D349" s="8"/>
      <c r="E349" s="8"/>
    </row>
    <row r="350" spans="1:5" x14ac:dyDescent="0.25">
      <c r="A350" s="1" t="s">
        <v>340</v>
      </c>
      <c r="B350" s="8">
        <v>46261</v>
      </c>
      <c r="C350" s="8">
        <v>46076</v>
      </c>
      <c r="D350" s="8"/>
      <c r="E350" s="8"/>
    </row>
    <row r="351" spans="1:5" x14ac:dyDescent="0.25">
      <c r="A351" s="1" t="s">
        <v>339</v>
      </c>
      <c r="B351" s="8">
        <v>46261</v>
      </c>
      <c r="C351" s="8">
        <v>46073</v>
      </c>
      <c r="D351" s="8"/>
      <c r="E351" s="8"/>
    </row>
    <row r="352" spans="1:5" x14ac:dyDescent="0.25">
      <c r="A352" s="1" t="s">
        <v>345</v>
      </c>
      <c r="B352" s="8">
        <v>46220</v>
      </c>
      <c r="C352" s="8">
        <v>46053</v>
      </c>
      <c r="D352" s="8"/>
      <c r="E352" s="8"/>
    </row>
    <row r="353" spans="1:5" x14ac:dyDescent="0.25">
      <c r="A353" s="1" t="s">
        <v>341</v>
      </c>
      <c r="B353" s="8">
        <v>46174</v>
      </c>
      <c r="C353" s="8">
        <v>46008</v>
      </c>
      <c r="D353" s="8"/>
      <c r="E353" s="8"/>
    </row>
    <row r="354" spans="1:5" x14ac:dyDescent="0.25">
      <c r="A354" s="1" t="s">
        <v>343</v>
      </c>
      <c r="B354" s="8">
        <v>46156</v>
      </c>
      <c r="C354" s="8">
        <v>46156</v>
      </c>
      <c r="D354" s="8"/>
      <c r="E354" s="8"/>
    </row>
    <row r="355" spans="1:5" x14ac:dyDescent="0.25">
      <c r="A355" s="1" t="s">
        <v>342</v>
      </c>
      <c r="B355" s="8">
        <v>46174</v>
      </c>
      <c r="C355" s="8">
        <v>46008</v>
      </c>
      <c r="D355" s="8"/>
      <c r="E355" s="8"/>
    </row>
    <row r="356" spans="1:5" x14ac:dyDescent="0.25">
      <c r="A356" s="1" t="s">
        <v>344</v>
      </c>
      <c r="B356" s="8">
        <v>46175</v>
      </c>
      <c r="C356" s="8"/>
      <c r="D356" s="8"/>
      <c r="E356" s="8"/>
    </row>
    <row r="357" spans="1:5" x14ac:dyDescent="0.25">
      <c r="A357" s="1" t="s">
        <v>346</v>
      </c>
      <c r="B357" s="8">
        <v>46227</v>
      </c>
      <c r="C357" s="8">
        <v>46036</v>
      </c>
      <c r="D357" s="8"/>
      <c r="E357" s="8"/>
    </row>
    <row r="358" spans="1:5" x14ac:dyDescent="0.25">
      <c r="A358" s="1" t="s">
        <v>347</v>
      </c>
      <c r="B358" s="8">
        <v>46203</v>
      </c>
      <c r="C358" s="8">
        <v>46060</v>
      </c>
      <c r="D358" s="8"/>
      <c r="E358" s="8"/>
    </row>
    <row r="359" spans="1:5" x14ac:dyDescent="0.25">
      <c r="A359" s="1" t="s">
        <v>348</v>
      </c>
      <c r="B359" s="8">
        <v>46210</v>
      </c>
      <c r="C359" s="8">
        <v>46034</v>
      </c>
      <c r="D359" s="8"/>
      <c r="E359" s="8"/>
    </row>
    <row r="360" spans="1:5" x14ac:dyDescent="0.25">
      <c r="A360" s="1" t="s">
        <v>349</v>
      </c>
      <c r="B360" s="8">
        <v>46209</v>
      </c>
      <c r="C360" s="8">
        <v>46087</v>
      </c>
      <c r="D360" s="8"/>
      <c r="E360" s="8"/>
    </row>
    <row r="361" spans="1:5" x14ac:dyDescent="0.25">
      <c r="A361" s="1" t="s">
        <v>350</v>
      </c>
      <c r="B361" s="8">
        <v>46239</v>
      </c>
      <c r="C361" s="8">
        <v>46087</v>
      </c>
      <c r="D361" s="8"/>
      <c r="E361" s="8"/>
    </row>
    <row r="362" spans="1:5" x14ac:dyDescent="0.25">
      <c r="A362" s="1" t="s">
        <v>351</v>
      </c>
      <c r="B362" s="8">
        <v>46219</v>
      </c>
      <c r="C362" s="8">
        <v>46035</v>
      </c>
      <c r="D362" s="8"/>
      <c r="E362" s="8"/>
    </row>
    <row r="363" spans="1:5" x14ac:dyDescent="0.25">
      <c r="A363" s="1" t="s">
        <v>352</v>
      </c>
      <c r="B363" s="8">
        <v>46149</v>
      </c>
      <c r="C363" s="8">
        <v>46012</v>
      </c>
      <c r="D363" s="8"/>
      <c r="E363" s="8"/>
    </row>
    <row r="364" spans="1:5" x14ac:dyDescent="0.25">
      <c r="A364" s="1" t="s">
        <v>353</v>
      </c>
      <c r="B364" s="8">
        <v>46216</v>
      </c>
      <c r="C364" s="8">
        <v>46153</v>
      </c>
      <c r="D364" s="8">
        <v>46153</v>
      </c>
      <c r="E364" s="8">
        <v>46058</v>
      </c>
    </row>
    <row r="365" spans="1:5" x14ac:dyDescent="0.25">
      <c r="A365" s="1" t="s">
        <v>354</v>
      </c>
      <c r="B365" s="8">
        <v>46150</v>
      </c>
      <c r="C365" s="8">
        <v>46010</v>
      </c>
      <c r="D365" s="8"/>
      <c r="E365" s="8"/>
    </row>
    <row r="366" spans="1:5" x14ac:dyDescent="0.25">
      <c r="A366" s="1" t="s">
        <v>355</v>
      </c>
      <c r="B366" s="8">
        <v>46178</v>
      </c>
      <c r="C366" s="8">
        <v>46064</v>
      </c>
      <c r="D366" s="8"/>
      <c r="E366" s="8"/>
    </row>
    <row r="367" spans="1:5" x14ac:dyDescent="0.25">
      <c r="A367" s="1" t="s">
        <v>358</v>
      </c>
      <c r="B367" s="8">
        <v>46190</v>
      </c>
      <c r="C367" s="8">
        <v>46100</v>
      </c>
      <c r="D367" s="8"/>
      <c r="E367" s="8"/>
    </row>
    <row r="368" spans="1:5" x14ac:dyDescent="0.25">
      <c r="A368" s="1" t="s">
        <v>357</v>
      </c>
      <c r="B368" s="8">
        <v>46147</v>
      </c>
      <c r="C368" s="8">
        <v>46000</v>
      </c>
      <c r="D368" s="8"/>
      <c r="E368" s="8"/>
    </row>
    <row r="369" spans="1:5" x14ac:dyDescent="0.25">
      <c r="A369" s="1" t="s">
        <v>356</v>
      </c>
      <c r="B369" s="8">
        <v>46144</v>
      </c>
      <c r="C369" s="8">
        <v>46031</v>
      </c>
      <c r="D369" s="8">
        <v>45933</v>
      </c>
      <c r="E369" s="8"/>
    </row>
    <row r="370" spans="1:5" x14ac:dyDescent="0.25">
      <c r="A370" s="1" t="s">
        <v>360</v>
      </c>
      <c r="B370" s="8">
        <v>46317</v>
      </c>
      <c r="C370" s="8">
        <v>46176</v>
      </c>
      <c r="D370" s="8"/>
      <c r="E370" s="8"/>
    </row>
    <row r="371" spans="1:5" x14ac:dyDescent="0.25">
      <c r="A371" s="1" t="s">
        <v>359</v>
      </c>
      <c r="B371" s="8">
        <v>46156</v>
      </c>
      <c r="C371" s="8">
        <v>45945</v>
      </c>
      <c r="D371" s="8"/>
      <c r="E371" s="8"/>
    </row>
    <row r="372" spans="1:5" x14ac:dyDescent="0.25">
      <c r="A372" s="1" t="s">
        <v>361</v>
      </c>
      <c r="B372" s="8">
        <v>46168</v>
      </c>
      <c r="C372" s="8">
        <v>46059</v>
      </c>
      <c r="D372" s="8"/>
      <c r="E372" s="8"/>
    </row>
    <row r="373" spans="1:5" x14ac:dyDescent="0.25">
      <c r="A373" s="1" t="s">
        <v>362</v>
      </c>
      <c r="B373" s="8">
        <v>46149</v>
      </c>
      <c r="C373" s="8">
        <v>46132</v>
      </c>
      <c r="D373" s="8">
        <v>46027</v>
      </c>
      <c r="E373" s="8"/>
    </row>
    <row r="374" spans="1:5" x14ac:dyDescent="0.25">
      <c r="A374" s="1" t="s">
        <v>363</v>
      </c>
      <c r="B374" s="8">
        <v>46183</v>
      </c>
      <c r="C374" s="8">
        <v>46001</v>
      </c>
      <c r="D374" s="8"/>
      <c r="E374" s="8"/>
    </row>
    <row r="375" spans="1:5" x14ac:dyDescent="0.25">
      <c r="A375" s="1" t="s">
        <v>365</v>
      </c>
      <c r="B375" s="8">
        <v>46217</v>
      </c>
      <c r="C375" s="8">
        <v>46006</v>
      </c>
      <c r="D375" s="8"/>
      <c r="E375" s="8"/>
    </row>
    <row r="376" spans="1:5" x14ac:dyDescent="0.25">
      <c r="A376" s="1" t="s">
        <v>364</v>
      </c>
      <c r="B376" s="8">
        <v>46149</v>
      </c>
      <c r="C376" s="8">
        <v>46018</v>
      </c>
      <c r="D376" s="8"/>
      <c r="E376" s="8"/>
    </row>
    <row r="377" spans="1:5" x14ac:dyDescent="0.25">
      <c r="A377" s="1" t="s">
        <v>367</v>
      </c>
      <c r="B377" s="8">
        <v>46155</v>
      </c>
      <c r="C377" s="8">
        <v>45988</v>
      </c>
      <c r="D377" s="8"/>
      <c r="E377" s="8"/>
    </row>
    <row r="378" spans="1:5" x14ac:dyDescent="0.25">
      <c r="A378" s="1" t="s">
        <v>366</v>
      </c>
      <c r="B378" s="8">
        <v>46130</v>
      </c>
      <c r="C378" s="8">
        <v>46014</v>
      </c>
      <c r="D378" s="8"/>
      <c r="E378" s="8"/>
    </row>
    <row r="379" spans="1:5" x14ac:dyDescent="0.25">
      <c r="A379" s="1" t="s">
        <v>368</v>
      </c>
      <c r="B379" s="8">
        <v>46155</v>
      </c>
      <c r="C379" s="8">
        <v>45988</v>
      </c>
      <c r="D379" s="8"/>
      <c r="E379" s="8"/>
    </row>
    <row r="380" spans="1:5" x14ac:dyDescent="0.25">
      <c r="A380" s="1" t="s">
        <v>370</v>
      </c>
      <c r="B380" s="8">
        <v>46175</v>
      </c>
      <c r="C380" s="8">
        <v>46056</v>
      </c>
      <c r="D380" s="8"/>
      <c r="E380" s="8"/>
    </row>
    <row r="381" spans="1:5" x14ac:dyDescent="0.25">
      <c r="A381" s="1" t="s">
        <v>369</v>
      </c>
      <c r="B381" s="8">
        <v>46178</v>
      </c>
      <c r="C381" s="8">
        <v>45979</v>
      </c>
      <c r="D381" s="8"/>
      <c r="E381" s="8"/>
    </row>
    <row r="382" spans="1:5" x14ac:dyDescent="0.25">
      <c r="A382" s="1" t="s">
        <v>373</v>
      </c>
      <c r="B382" s="8"/>
      <c r="C382" s="8"/>
      <c r="D382" s="8"/>
      <c r="E382" s="8"/>
    </row>
    <row r="383" spans="1:5" x14ac:dyDescent="0.25">
      <c r="A383" s="1" t="s">
        <v>372</v>
      </c>
      <c r="B383" s="8"/>
      <c r="C383" s="8"/>
      <c r="D383" s="8"/>
      <c r="E383" s="8"/>
    </row>
    <row r="384" spans="1:5" x14ac:dyDescent="0.25">
      <c r="A384" s="1" t="s">
        <v>371</v>
      </c>
      <c r="B384" s="8">
        <v>46134</v>
      </c>
      <c r="C384" s="8">
        <v>45993</v>
      </c>
      <c r="D384" s="8"/>
      <c r="E384" s="8"/>
    </row>
    <row r="385" spans="1:5" x14ac:dyDescent="0.25">
      <c r="A385" s="1" t="s">
        <v>374</v>
      </c>
      <c r="B385" s="8">
        <v>46147</v>
      </c>
      <c r="C385" s="8">
        <v>46020</v>
      </c>
      <c r="D385" s="8"/>
      <c r="E385" s="8"/>
    </row>
    <row r="386" spans="1:5" x14ac:dyDescent="0.25">
      <c r="A386" s="1" t="s">
        <v>375</v>
      </c>
      <c r="B386" s="8">
        <v>46114</v>
      </c>
      <c r="C386" s="8">
        <v>45980</v>
      </c>
      <c r="D386" s="8"/>
      <c r="E386" s="8"/>
    </row>
    <row r="387" spans="1:5" x14ac:dyDescent="0.25">
      <c r="A387" s="1" t="s">
        <v>376</v>
      </c>
      <c r="B387" s="8">
        <v>46116</v>
      </c>
      <c r="C387" s="8">
        <v>45983</v>
      </c>
      <c r="D387" s="8"/>
      <c r="E387" s="8"/>
    </row>
    <row r="388" spans="1:5" x14ac:dyDescent="0.25">
      <c r="A388" s="1" t="s">
        <v>378</v>
      </c>
      <c r="B388" s="8">
        <v>46325</v>
      </c>
      <c r="C388" s="8">
        <v>46204</v>
      </c>
      <c r="D388" s="8">
        <v>45978</v>
      </c>
      <c r="E388" s="8"/>
    </row>
    <row r="389" spans="1:5" x14ac:dyDescent="0.25">
      <c r="A389" s="1" t="s">
        <v>377</v>
      </c>
      <c r="B389" s="8">
        <v>46142</v>
      </c>
      <c r="C389" s="8">
        <v>45980</v>
      </c>
      <c r="D389" s="8"/>
      <c r="E389" s="8"/>
    </row>
    <row r="390" spans="1:5" x14ac:dyDescent="0.25">
      <c r="A390" s="1" t="s">
        <v>379</v>
      </c>
      <c r="B390" s="8">
        <v>46116</v>
      </c>
      <c r="C390" s="8">
        <v>45979</v>
      </c>
      <c r="D390" s="8"/>
      <c r="E390" s="8"/>
    </row>
    <row r="391" spans="1:5" x14ac:dyDescent="0.25">
      <c r="A391" s="1" t="s">
        <v>380</v>
      </c>
      <c r="B391" s="8">
        <v>46190</v>
      </c>
      <c r="C391" s="8">
        <v>46011</v>
      </c>
      <c r="D391" s="8"/>
      <c r="E391" s="8"/>
    </row>
    <row r="392" spans="1:5" x14ac:dyDescent="0.25">
      <c r="A392" s="1" t="s">
        <v>381</v>
      </c>
      <c r="B392" s="8">
        <v>46134</v>
      </c>
      <c r="C392" s="8"/>
      <c r="D392" s="8"/>
      <c r="E392" s="8"/>
    </row>
    <row r="393" spans="1:5" x14ac:dyDescent="0.25">
      <c r="A393" s="1" t="s">
        <v>383</v>
      </c>
      <c r="B393" s="8">
        <v>46153</v>
      </c>
      <c r="C393" s="8">
        <v>45997</v>
      </c>
      <c r="D393" s="8"/>
      <c r="E393" s="8"/>
    </row>
    <row r="394" spans="1:5" x14ac:dyDescent="0.25">
      <c r="A394" s="1" t="s">
        <v>382</v>
      </c>
      <c r="B394" s="8">
        <v>46141</v>
      </c>
      <c r="C394" s="8">
        <v>45923</v>
      </c>
      <c r="D394" s="8"/>
      <c r="E394" s="8"/>
    </row>
    <row r="395" spans="1:5" x14ac:dyDescent="0.25">
      <c r="A395" s="1" t="s">
        <v>385</v>
      </c>
      <c r="B395" s="8">
        <v>46127</v>
      </c>
      <c r="C395" s="8">
        <v>45987</v>
      </c>
      <c r="D395" s="8"/>
      <c r="E395" s="8"/>
    </row>
    <row r="396" spans="1:5" x14ac:dyDescent="0.25">
      <c r="A396" s="1" t="s">
        <v>384</v>
      </c>
      <c r="B396" s="8">
        <v>46316</v>
      </c>
      <c r="C396" s="8">
        <v>46176</v>
      </c>
      <c r="D396" s="8">
        <v>46053</v>
      </c>
      <c r="E396" s="8"/>
    </row>
    <row r="397" spans="1:5" x14ac:dyDescent="0.25">
      <c r="A397" s="1" t="s">
        <v>386</v>
      </c>
      <c r="B397" s="8">
        <v>46146</v>
      </c>
      <c r="C397" s="8">
        <v>45946</v>
      </c>
      <c r="D397" s="8"/>
      <c r="E397" s="8"/>
    </row>
    <row r="398" spans="1:5" x14ac:dyDescent="0.25">
      <c r="A398" s="1" t="s">
        <v>387</v>
      </c>
      <c r="B398" s="8">
        <v>46156</v>
      </c>
      <c r="C398" s="8">
        <v>45964</v>
      </c>
      <c r="D398" s="8"/>
      <c r="E398" s="8"/>
    </row>
    <row r="399" spans="1:5" x14ac:dyDescent="0.25">
      <c r="A399" s="1" t="s">
        <v>388</v>
      </c>
      <c r="B399" s="8"/>
      <c r="C399" s="8"/>
      <c r="D399" s="8"/>
      <c r="E399" s="8"/>
    </row>
    <row r="400" spans="1:5" x14ac:dyDescent="0.25">
      <c r="A400" s="1" t="s">
        <v>389</v>
      </c>
      <c r="B400" s="8">
        <v>46321</v>
      </c>
      <c r="C400" s="8">
        <v>46150</v>
      </c>
      <c r="D400" s="8">
        <v>45974</v>
      </c>
      <c r="E400" s="8"/>
    </row>
    <row r="401" spans="1:5" x14ac:dyDescent="0.25">
      <c r="A401" s="1" t="s">
        <v>391</v>
      </c>
      <c r="B401" s="8">
        <v>46125</v>
      </c>
      <c r="C401" s="8">
        <v>45964</v>
      </c>
      <c r="D401" s="8"/>
      <c r="E401" s="8"/>
    </row>
    <row r="402" spans="1:5" x14ac:dyDescent="0.25">
      <c r="A402" s="1" t="s">
        <v>390</v>
      </c>
      <c r="B402" s="8">
        <v>46136</v>
      </c>
      <c r="C402" s="8">
        <v>45939</v>
      </c>
      <c r="D402" s="8"/>
      <c r="E402" s="8"/>
    </row>
    <row r="403" spans="1:5" x14ac:dyDescent="0.25">
      <c r="A403" s="1" t="s">
        <v>392</v>
      </c>
      <c r="B403" s="8">
        <v>46136</v>
      </c>
      <c r="C403" s="8">
        <v>45939</v>
      </c>
      <c r="D403" s="8"/>
      <c r="E403" s="8"/>
    </row>
    <row r="404" spans="1:5" x14ac:dyDescent="0.25">
      <c r="A404" s="1" t="s">
        <v>393</v>
      </c>
      <c r="B404" s="8">
        <v>46319</v>
      </c>
      <c r="C404" s="8">
        <v>46216</v>
      </c>
      <c r="D404" s="8">
        <v>46153</v>
      </c>
      <c r="E404" s="8">
        <v>46058</v>
      </c>
    </row>
    <row r="405" spans="1:5" x14ac:dyDescent="0.25">
      <c r="A405" s="1" t="s">
        <v>394</v>
      </c>
      <c r="B405" s="8">
        <v>46106</v>
      </c>
      <c r="C405" s="8">
        <v>45936</v>
      </c>
      <c r="D405" s="8"/>
      <c r="E405" s="8"/>
    </row>
    <row r="406" spans="1:5" x14ac:dyDescent="0.25">
      <c r="A406" s="1" t="s">
        <v>395</v>
      </c>
      <c r="B406" s="8">
        <v>46158</v>
      </c>
      <c r="C406" s="8">
        <v>46039</v>
      </c>
      <c r="D406" s="8"/>
      <c r="E406" s="8"/>
    </row>
    <row r="407" spans="1:5" x14ac:dyDescent="0.25">
      <c r="A407" s="1" t="s">
        <v>398</v>
      </c>
      <c r="B407" s="8">
        <v>46149</v>
      </c>
      <c r="C407" s="8">
        <v>46031</v>
      </c>
      <c r="D407" s="8"/>
      <c r="E407" s="8"/>
    </row>
    <row r="408" spans="1:5" x14ac:dyDescent="0.25">
      <c r="A408" s="1" t="s">
        <v>396</v>
      </c>
      <c r="B408" s="8">
        <v>46261</v>
      </c>
      <c r="C408" s="8">
        <v>46100</v>
      </c>
      <c r="D408" s="8">
        <v>45959</v>
      </c>
      <c r="E408" s="8"/>
    </row>
    <row r="409" spans="1:5" x14ac:dyDescent="0.25">
      <c r="A409" s="1" t="s">
        <v>397</v>
      </c>
      <c r="B409" s="8">
        <v>46216</v>
      </c>
      <c r="C409" s="8">
        <v>46153</v>
      </c>
      <c r="D409" s="8">
        <v>46058</v>
      </c>
      <c r="E409" s="8">
        <v>45862</v>
      </c>
    </row>
    <row r="410" spans="1:5" x14ac:dyDescent="0.25">
      <c r="A410" s="1" t="s">
        <v>400</v>
      </c>
      <c r="B410" s="8">
        <v>46072</v>
      </c>
      <c r="C410" s="8">
        <v>45958</v>
      </c>
      <c r="D410" s="8"/>
      <c r="E410" s="8"/>
    </row>
    <row r="411" spans="1:5" x14ac:dyDescent="0.25">
      <c r="A411" s="1" t="s">
        <v>399</v>
      </c>
      <c r="B411" s="8">
        <v>46105</v>
      </c>
      <c r="C411" s="8">
        <v>45961</v>
      </c>
      <c r="D411" s="8"/>
      <c r="E411" s="8"/>
    </row>
    <row r="412" spans="1:5" x14ac:dyDescent="0.25">
      <c r="A412" s="1" t="s">
        <v>402</v>
      </c>
      <c r="B412" s="8">
        <v>46114</v>
      </c>
      <c r="C412" s="8">
        <v>45946</v>
      </c>
      <c r="D412" s="8"/>
      <c r="E412" s="8"/>
    </row>
    <row r="413" spans="1:5" x14ac:dyDescent="0.25">
      <c r="A413" s="1" t="s">
        <v>403</v>
      </c>
      <c r="B413" s="8">
        <v>46275</v>
      </c>
      <c r="C413" s="8">
        <v>46206</v>
      </c>
      <c r="D413" s="8">
        <v>45965</v>
      </c>
      <c r="E413" s="8"/>
    </row>
    <row r="414" spans="1:5" x14ac:dyDescent="0.25">
      <c r="A414" s="1" t="s">
        <v>401</v>
      </c>
      <c r="B414" s="8">
        <v>46079</v>
      </c>
      <c r="C414" s="8"/>
      <c r="D414" s="8"/>
      <c r="E414" s="8"/>
    </row>
    <row r="415" spans="1:5" x14ac:dyDescent="0.25">
      <c r="A415" s="1" t="s">
        <v>404</v>
      </c>
      <c r="B415" s="8">
        <v>45965</v>
      </c>
      <c r="C415" s="8"/>
      <c r="D415" s="8"/>
      <c r="E415" s="8"/>
    </row>
    <row r="416" spans="1:5" x14ac:dyDescent="0.25">
      <c r="A416" s="1" t="s">
        <v>405</v>
      </c>
      <c r="B416" s="8">
        <v>46276</v>
      </c>
      <c r="C416" s="8">
        <v>46119</v>
      </c>
      <c r="D416" s="8">
        <v>46083</v>
      </c>
      <c r="E416" s="8"/>
    </row>
    <row r="417" spans="1:5" x14ac:dyDescent="0.25">
      <c r="A417" s="1" t="s">
        <v>406</v>
      </c>
      <c r="B417" s="8">
        <v>46295</v>
      </c>
      <c r="C417" s="8">
        <v>46099</v>
      </c>
      <c r="D417" s="8">
        <v>45939</v>
      </c>
      <c r="E417" s="8"/>
    </row>
    <row r="418" spans="1:5" x14ac:dyDescent="0.25">
      <c r="A418" s="1" t="s">
        <v>407</v>
      </c>
      <c r="B418" s="8">
        <v>45945</v>
      </c>
      <c r="C418" s="8"/>
      <c r="D418" s="8"/>
      <c r="E418" s="8"/>
    </row>
    <row r="419" spans="1:5" x14ac:dyDescent="0.25">
      <c r="A419" s="1" t="s">
        <v>408</v>
      </c>
      <c r="B419" s="8"/>
      <c r="C419" s="8"/>
      <c r="D419" s="8"/>
      <c r="E419" s="8"/>
    </row>
    <row r="420" spans="1:5" x14ac:dyDescent="0.25">
      <c r="A420" s="1" t="s">
        <v>409</v>
      </c>
      <c r="B420" s="8">
        <v>46129</v>
      </c>
      <c r="C420" s="8">
        <v>45975</v>
      </c>
      <c r="D420" s="8"/>
      <c r="E420" s="8"/>
    </row>
    <row r="421" spans="1:5" x14ac:dyDescent="0.25">
      <c r="A421" s="1" t="s">
        <v>410</v>
      </c>
      <c r="B421" s="8">
        <v>46178</v>
      </c>
      <c r="C421" s="8">
        <v>46018</v>
      </c>
      <c r="D421" s="8"/>
      <c r="E421" s="8"/>
    </row>
    <row r="422" spans="1:5" x14ac:dyDescent="0.25">
      <c r="A422" s="1" t="s">
        <v>411</v>
      </c>
      <c r="B422" s="8">
        <v>46154</v>
      </c>
      <c r="C422" s="8">
        <v>45995</v>
      </c>
      <c r="D422" s="8"/>
      <c r="E422" s="8"/>
    </row>
    <row r="423" spans="1:5" x14ac:dyDescent="0.25">
      <c r="A423" s="1" t="s">
        <v>413</v>
      </c>
      <c r="B423" s="8">
        <v>46146</v>
      </c>
      <c r="C423" s="8">
        <v>45967</v>
      </c>
      <c r="D423" s="8"/>
      <c r="E423" s="8"/>
    </row>
    <row r="424" spans="1:5" x14ac:dyDescent="0.25">
      <c r="A424" s="1" t="s">
        <v>412</v>
      </c>
      <c r="B424" s="8">
        <v>46289</v>
      </c>
      <c r="C424" s="8">
        <v>46133</v>
      </c>
      <c r="D424" s="8">
        <v>45987</v>
      </c>
      <c r="E424" s="8"/>
    </row>
    <row r="425" spans="1:5" x14ac:dyDescent="0.25">
      <c r="A425" s="1" t="s">
        <v>414</v>
      </c>
      <c r="B425" s="8">
        <v>46105</v>
      </c>
      <c r="C425" s="8">
        <v>45961</v>
      </c>
      <c r="D425" s="8"/>
      <c r="E425" s="8"/>
    </row>
    <row r="426" spans="1:5" x14ac:dyDescent="0.25">
      <c r="A426" s="1" t="s">
        <v>417</v>
      </c>
      <c r="B426" s="8">
        <v>46286</v>
      </c>
      <c r="C426" s="8">
        <v>46153</v>
      </c>
      <c r="D426" s="8">
        <v>46058</v>
      </c>
      <c r="E426" s="8">
        <v>45862</v>
      </c>
    </row>
    <row r="427" spans="1:5" x14ac:dyDescent="0.25">
      <c r="A427" s="1" t="s">
        <v>416</v>
      </c>
      <c r="B427" s="8">
        <v>46081</v>
      </c>
      <c r="C427" s="8">
        <v>45920</v>
      </c>
      <c r="D427" s="8"/>
      <c r="E427" s="8"/>
    </row>
    <row r="428" spans="1:5" x14ac:dyDescent="0.25">
      <c r="A428" s="1" t="s">
        <v>418</v>
      </c>
      <c r="B428" s="8">
        <v>46069</v>
      </c>
      <c r="C428" s="8">
        <v>45902</v>
      </c>
      <c r="D428" s="8"/>
      <c r="E428" s="8"/>
    </row>
    <row r="429" spans="1:5" x14ac:dyDescent="0.25">
      <c r="A429" s="1" t="s">
        <v>415</v>
      </c>
      <c r="B429" s="8">
        <v>46081</v>
      </c>
      <c r="C429" s="8">
        <v>45920</v>
      </c>
      <c r="D429" s="8"/>
      <c r="E429" s="8"/>
    </row>
    <row r="430" spans="1:5" x14ac:dyDescent="0.25">
      <c r="A430" s="1" t="s">
        <v>419</v>
      </c>
      <c r="B430" s="8">
        <v>46073</v>
      </c>
      <c r="C430" s="8"/>
      <c r="D430" s="8"/>
      <c r="E430" s="8"/>
    </row>
    <row r="431" spans="1:5" x14ac:dyDescent="0.25">
      <c r="A431" s="1" t="s">
        <v>420</v>
      </c>
      <c r="B431" s="8">
        <v>46087</v>
      </c>
      <c r="C431" s="8">
        <v>45938</v>
      </c>
      <c r="D431" s="8"/>
      <c r="E431" s="8"/>
    </row>
    <row r="432" spans="1:5" x14ac:dyDescent="0.25">
      <c r="A432" s="1" t="s">
        <v>423</v>
      </c>
      <c r="B432" s="8">
        <v>46087</v>
      </c>
      <c r="C432" s="8">
        <v>45916</v>
      </c>
      <c r="D432" s="8"/>
      <c r="E432" s="8"/>
    </row>
    <row r="433" spans="1:5" x14ac:dyDescent="0.25">
      <c r="A433" s="1" t="s">
        <v>421</v>
      </c>
      <c r="B433" s="8">
        <v>46265</v>
      </c>
      <c r="C433" s="8">
        <v>46017</v>
      </c>
      <c r="D433" s="8">
        <v>45903</v>
      </c>
      <c r="E433" s="8"/>
    </row>
    <row r="434" spans="1:5" x14ac:dyDescent="0.25">
      <c r="A434" s="1" t="s">
        <v>422</v>
      </c>
      <c r="B434" s="8">
        <v>46087</v>
      </c>
      <c r="C434" s="8">
        <v>45916</v>
      </c>
      <c r="D434" s="8"/>
      <c r="E434" s="8"/>
    </row>
    <row r="435" spans="1:5" x14ac:dyDescent="0.25">
      <c r="A435" s="1" t="s">
        <v>424</v>
      </c>
      <c r="B435" s="8">
        <v>46304</v>
      </c>
      <c r="C435" s="8">
        <v>46062</v>
      </c>
      <c r="D435" s="8">
        <v>45926</v>
      </c>
      <c r="E435" s="8"/>
    </row>
    <row r="436" spans="1:5" x14ac:dyDescent="0.25">
      <c r="A436" s="1" t="s">
        <v>425</v>
      </c>
      <c r="B436" s="8">
        <v>46273</v>
      </c>
      <c r="C436" s="8">
        <v>46114</v>
      </c>
      <c r="D436" s="8">
        <v>45912</v>
      </c>
      <c r="E436" s="8"/>
    </row>
    <row r="437" spans="1:5" x14ac:dyDescent="0.25">
      <c r="A437" s="1" t="s">
        <v>426</v>
      </c>
      <c r="B437" s="8">
        <v>46280</v>
      </c>
      <c r="C437" s="8">
        <v>46114</v>
      </c>
      <c r="D437" s="8">
        <v>45945</v>
      </c>
      <c r="E437" s="8"/>
    </row>
    <row r="438" spans="1:5" x14ac:dyDescent="0.25">
      <c r="A438" s="1" t="s">
        <v>429</v>
      </c>
      <c r="B438" s="8">
        <v>46080</v>
      </c>
      <c r="C438" s="8">
        <v>45971</v>
      </c>
      <c r="D438" s="8"/>
      <c r="E438" s="8"/>
    </row>
    <row r="439" spans="1:5" x14ac:dyDescent="0.25">
      <c r="A439" s="1" t="s">
        <v>428</v>
      </c>
      <c r="B439" s="8">
        <v>46080</v>
      </c>
      <c r="C439" s="8">
        <v>45971</v>
      </c>
      <c r="D439" s="8"/>
      <c r="E439" s="8"/>
    </row>
    <row r="440" spans="1:5" x14ac:dyDescent="0.25">
      <c r="A440" s="1" t="s">
        <v>427</v>
      </c>
      <c r="B440" s="8">
        <v>46134</v>
      </c>
      <c r="C440" s="8">
        <v>45938</v>
      </c>
      <c r="D440" s="8"/>
      <c r="E440" s="8"/>
    </row>
    <row r="441" spans="1:5" x14ac:dyDescent="0.25">
      <c r="A441" s="1" t="s">
        <v>430</v>
      </c>
      <c r="B441" s="8">
        <v>46085</v>
      </c>
      <c r="C441" s="8">
        <v>45901</v>
      </c>
      <c r="D441" s="8"/>
      <c r="E441" s="8"/>
    </row>
    <row r="442" spans="1:5" x14ac:dyDescent="0.25">
      <c r="A442" s="1" t="s">
        <v>431</v>
      </c>
      <c r="B442" s="8">
        <v>46212</v>
      </c>
      <c r="C442" s="8">
        <v>46060</v>
      </c>
      <c r="D442" s="8">
        <v>45934</v>
      </c>
      <c r="E442" s="8"/>
    </row>
    <row r="443" spans="1:5" x14ac:dyDescent="0.25">
      <c r="A443" s="1" t="s">
        <v>432</v>
      </c>
      <c r="B443" s="8">
        <v>46280</v>
      </c>
      <c r="C443" s="8">
        <v>46051</v>
      </c>
      <c r="D443" s="8">
        <v>45888</v>
      </c>
      <c r="E443" s="8"/>
    </row>
    <row r="444" spans="1:5" x14ac:dyDescent="0.25">
      <c r="A444" s="1" t="s">
        <v>433</v>
      </c>
      <c r="B444" s="8">
        <v>46057</v>
      </c>
      <c r="C444" s="8">
        <v>45875</v>
      </c>
      <c r="D444" s="8">
        <v>45849</v>
      </c>
      <c r="E444" s="8"/>
    </row>
    <row r="445" spans="1:5" x14ac:dyDescent="0.25">
      <c r="A445" s="1" t="s">
        <v>435</v>
      </c>
      <c r="B445" s="8">
        <v>46289</v>
      </c>
      <c r="C445" s="8">
        <v>46155</v>
      </c>
      <c r="D445" s="8">
        <v>45995</v>
      </c>
      <c r="E445" s="8"/>
    </row>
    <row r="446" spans="1:5" x14ac:dyDescent="0.25">
      <c r="A446" s="1" t="s">
        <v>434</v>
      </c>
      <c r="B446" s="8">
        <v>46206</v>
      </c>
      <c r="C446" s="8">
        <v>46020</v>
      </c>
      <c r="D446" s="8"/>
      <c r="E446" s="8"/>
    </row>
    <row r="447" spans="1:5" x14ac:dyDescent="0.25">
      <c r="A447" s="1" t="s">
        <v>436</v>
      </c>
      <c r="B447" s="8">
        <v>46100</v>
      </c>
      <c r="C447" s="8">
        <v>45981</v>
      </c>
      <c r="D447" s="8"/>
      <c r="E447" s="8"/>
    </row>
    <row r="448" spans="1:5" x14ac:dyDescent="0.25">
      <c r="A448" s="1" t="s">
        <v>437</v>
      </c>
      <c r="B448" s="8">
        <v>46155</v>
      </c>
      <c r="C448" s="8">
        <v>45924</v>
      </c>
      <c r="D448" s="8"/>
      <c r="E448" s="8"/>
    </row>
    <row r="449" spans="1:5" x14ac:dyDescent="0.25">
      <c r="A449" s="1" t="s">
        <v>443</v>
      </c>
      <c r="B449" s="8">
        <v>46065</v>
      </c>
      <c r="C449" s="8">
        <v>45918</v>
      </c>
      <c r="D449" s="8"/>
      <c r="E449" s="8"/>
    </row>
    <row r="450" spans="1:5" x14ac:dyDescent="0.25">
      <c r="A450" s="1" t="s">
        <v>442</v>
      </c>
      <c r="B450" s="8">
        <v>46276</v>
      </c>
      <c r="C450" s="8">
        <v>46049</v>
      </c>
      <c r="D450" s="8">
        <v>45933</v>
      </c>
      <c r="E450" s="8">
        <v>45903</v>
      </c>
    </row>
    <row r="451" spans="1:5" x14ac:dyDescent="0.25">
      <c r="A451" s="1" t="s">
        <v>438</v>
      </c>
      <c r="B451" s="8">
        <v>46275</v>
      </c>
      <c r="C451" s="8">
        <v>46036</v>
      </c>
      <c r="D451" s="8">
        <v>45912</v>
      </c>
      <c r="E451" s="8"/>
    </row>
    <row r="452" spans="1:5" x14ac:dyDescent="0.25">
      <c r="A452" s="1" t="s">
        <v>439</v>
      </c>
      <c r="B452" s="8">
        <v>46276</v>
      </c>
      <c r="C452" s="8">
        <v>46049</v>
      </c>
      <c r="D452" s="8">
        <v>45904</v>
      </c>
      <c r="E452" s="8"/>
    </row>
    <row r="453" spans="1:5" x14ac:dyDescent="0.25">
      <c r="A453" s="1" t="s">
        <v>441</v>
      </c>
      <c r="B453" s="8">
        <v>46072</v>
      </c>
      <c r="C453" s="8">
        <v>45958</v>
      </c>
      <c r="D453" s="8"/>
      <c r="E453" s="8"/>
    </row>
    <row r="454" spans="1:5" x14ac:dyDescent="0.25">
      <c r="A454" s="1" t="s">
        <v>440</v>
      </c>
      <c r="B454" s="8">
        <v>46259</v>
      </c>
      <c r="C454" s="8">
        <v>46065</v>
      </c>
      <c r="D454" s="8">
        <v>45918</v>
      </c>
      <c r="E454" s="8"/>
    </row>
    <row r="455" spans="1:5" x14ac:dyDescent="0.25">
      <c r="A455" s="1" t="s">
        <v>444</v>
      </c>
      <c r="B455" s="8">
        <v>46100</v>
      </c>
      <c r="C455" s="8">
        <v>45972</v>
      </c>
      <c r="D455" s="8"/>
      <c r="E455" s="8"/>
    </row>
    <row r="456" spans="1:5" x14ac:dyDescent="0.25">
      <c r="A456" s="1" t="s">
        <v>445</v>
      </c>
      <c r="B456" s="8">
        <v>46154</v>
      </c>
      <c r="C456" s="8">
        <v>45967</v>
      </c>
      <c r="D456" s="8"/>
      <c r="E456" s="8"/>
    </row>
    <row r="457" spans="1:5" x14ac:dyDescent="0.25">
      <c r="A457" s="1" t="s">
        <v>446</v>
      </c>
      <c r="B457" s="8">
        <v>46109</v>
      </c>
      <c r="C457" s="8">
        <v>45907</v>
      </c>
      <c r="D457" s="8"/>
      <c r="E457" s="8"/>
    </row>
    <row r="458" spans="1:5" x14ac:dyDescent="0.25">
      <c r="A458" s="1" t="s">
        <v>447</v>
      </c>
      <c r="B458" s="8">
        <v>46252</v>
      </c>
      <c r="C458" s="8">
        <v>46041</v>
      </c>
      <c r="D458" s="8">
        <v>45885</v>
      </c>
      <c r="E458" s="8"/>
    </row>
    <row r="459" spans="1:5" x14ac:dyDescent="0.25">
      <c r="A459" s="1" t="s">
        <v>450</v>
      </c>
      <c r="B459" s="8">
        <v>46217</v>
      </c>
      <c r="C459" s="8">
        <v>46176</v>
      </c>
      <c r="D459" s="8">
        <v>45936</v>
      </c>
      <c r="E459" s="8"/>
    </row>
    <row r="460" spans="1:5" x14ac:dyDescent="0.25">
      <c r="A460" s="1" t="s">
        <v>448</v>
      </c>
      <c r="B460" s="8">
        <v>46079</v>
      </c>
      <c r="C460" s="8">
        <v>45958</v>
      </c>
      <c r="D460" s="8"/>
      <c r="E460" s="8"/>
    </row>
    <row r="461" spans="1:5" x14ac:dyDescent="0.25">
      <c r="A461" s="1" t="s">
        <v>449</v>
      </c>
      <c r="B461" s="8">
        <v>46217</v>
      </c>
      <c r="C461" s="8">
        <v>46176</v>
      </c>
      <c r="D461" s="8">
        <v>45936</v>
      </c>
      <c r="E461" s="8"/>
    </row>
    <row r="462" spans="1:5" x14ac:dyDescent="0.25">
      <c r="A462" s="1" t="s">
        <v>451</v>
      </c>
      <c r="B462" s="8">
        <v>46199</v>
      </c>
      <c r="C462" s="8">
        <v>46140</v>
      </c>
      <c r="D462" s="8">
        <v>45881</v>
      </c>
      <c r="E462" s="8"/>
    </row>
    <row r="463" spans="1:5" x14ac:dyDescent="0.25">
      <c r="A463" s="1" t="s">
        <v>455</v>
      </c>
      <c r="B463" s="8">
        <v>46062</v>
      </c>
      <c r="C463" s="8">
        <v>45918</v>
      </c>
      <c r="D463" s="8"/>
      <c r="E463" s="8"/>
    </row>
    <row r="464" spans="1:5" x14ac:dyDescent="0.25">
      <c r="A464" s="1" t="s">
        <v>454</v>
      </c>
      <c r="B464" s="8">
        <v>46055</v>
      </c>
      <c r="C464" s="8">
        <v>45938</v>
      </c>
      <c r="D464" s="8"/>
      <c r="E464" s="8"/>
    </row>
    <row r="465" spans="1:5" x14ac:dyDescent="0.25">
      <c r="A465" s="1" t="s">
        <v>453</v>
      </c>
      <c r="B465" s="8">
        <v>46157</v>
      </c>
      <c r="C465" s="8">
        <v>45966</v>
      </c>
      <c r="D465" s="8"/>
      <c r="E465" s="8"/>
    </row>
    <row r="466" spans="1:5" x14ac:dyDescent="0.25">
      <c r="A466" s="1" t="s">
        <v>452</v>
      </c>
      <c r="B466" s="8">
        <v>46270</v>
      </c>
      <c r="C466" s="8">
        <v>46078</v>
      </c>
      <c r="D466" s="8">
        <v>45894</v>
      </c>
      <c r="E466" s="8"/>
    </row>
    <row r="467" spans="1:5" x14ac:dyDescent="0.25">
      <c r="A467" s="1" t="s">
        <v>456</v>
      </c>
      <c r="B467" s="8">
        <v>46060</v>
      </c>
      <c r="C467" s="8">
        <v>45930</v>
      </c>
      <c r="D467" s="8"/>
      <c r="E467" s="8"/>
    </row>
    <row r="468" spans="1:5" x14ac:dyDescent="0.25">
      <c r="A468" s="1" t="s">
        <v>457</v>
      </c>
      <c r="B468" s="8">
        <v>46098</v>
      </c>
      <c r="C468" s="8">
        <v>45927</v>
      </c>
      <c r="D468" s="8"/>
      <c r="E468" s="8"/>
    </row>
    <row r="469" spans="1:5" x14ac:dyDescent="0.25">
      <c r="A469" s="1" t="s">
        <v>458</v>
      </c>
      <c r="B469" s="8">
        <v>46049</v>
      </c>
      <c r="C469" s="8">
        <v>45910</v>
      </c>
      <c r="D469" s="8"/>
      <c r="E469" s="8"/>
    </row>
    <row r="470" spans="1:5" x14ac:dyDescent="0.25">
      <c r="A470" s="1" t="s">
        <v>459</v>
      </c>
      <c r="B470" s="8">
        <v>46268</v>
      </c>
      <c r="C470" s="8">
        <v>46060</v>
      </c>
      <c r="D470" s="8">
        <v>45925</v>
      </c>
      <c r="E470" s="8"/>
    </row>
    <row r="471" spans="1:5" x14ac:dyDescent="0.25">
      <c r="A471" s="1" t="s">
        <v>460</v>
      </c>
      <c r="B471" s="8">
        <v>46270</v>
      </c>
      <c r="C471" s="8">
        <v>46078</v>
      </c>
      <c r="D471" s="8">
        <v>45894</v>
      </c>
      <c r="E471" s="8"/>
    </row>
    <row r="472" spans="1:5" x14ac:dyDescent="0.25">
      <c r="A472" s="1" t="s">
        <v>461</v>
      </c>
      <c r="B472" s="8">
        <v>46269</v>
      </c>
      <c r="C472" s="8">
        <v>46178</v>
      </c>
      <c r="D472" s="8">
        <v>46064</v>
      </c>
      <c r="E472" s="8"/>
    </row>
    <row r="473" spans="1:5" x14ac:dyDescent="0.25">
      <c r="A473" s="1" t="s">
        <v>462</v>
      </c>
      <c r="B473" s="8">
        <v>46239</v>
      </c>
      <c r="C473" s="8">
        <v>46086</v>
      </c>
      <c r="D473" s="8">
        <v>45876</v>
      </c>
      <c r="E473" s="8"/>
    </row>
    <row r="474" spans="1:5" x14ac:dyDescent="0.25">
      <c r="A474" s="1" t="s">
        <v>463</v>
      </c>
      <c r="B474" s="8">
        <v>46237</v>
      </c>
      <c r="C474" s="8">
        <v>46064</v>
      </c>
      <c r="D474" s="8">
        <v>45869</v>
      </c>
      <c r="E474" s="8"/>
    </row>
    <row r="475" spans="1:5" x14ac:dyDescent="0.25">
      <c r="A475" s="1" t="s">
        <v>464</v>
      </c>
      <c r="B475" s="8">
        <v>46065</v>
      </c>
      <c r="C475" s="8">
        <v>45875</v>
      </c>
      <c r="D475" s="8"/>
      <c r="E475" s="8"/>
    </row>
    <row r="476" spans="1:5" x14ac:dyDescent="0.25">
      <c r="A476" s="1" t="s">
        <v>465</v>
      </c>
      <c r="B476" s="8">
        <v>46239</v>
      </c>
      <c r="C476" s="8">
        <v>46035</v>
      </c>
      <c r="D476" s="8">
        <v>45875</v>
      </c>
      <c r="E476" s="8"/>
    </row>
    <row r="477" spans="1:5" x14ac:dyDescent="0.25">
      <c r="A477" s="1" t="s">
        <v>468</v>
      </c>
      <c r="B477" s="8">
        <v>46058</v>
      </c>
      <c r="C477" s="8">
        <v>45864</v>
      </c>
      <c r="D477" s="8"/>
      <c r="E477" s="8"/>
    </row>
    <row r="478" spans="1:5" x14ac:dyDescent="0.25">
      <c r="A478" s="1" t="s">
        <v>466</v>
      </c>
      <c r="B478" s="8">
        <v>46203</v>
      </c>
      <c r="C478" s="8">
        <v>46060</v>
      </c>
      <c r="D478" s="8">
        <v>45892</v>
      </c>
      <c r="E478" s="8"/>
    </row>
    <row r="479" spans="1:5" x14ac:dyDescent="0.25">
      <c r="A479" s="1" t="s">
        <v>467</v>
      </c>
      <c r="B479" s="8">
        <v>46030</v>
      </c>
      <c r="C479" s="8">
        <v>45915</v>
      </c>
      <c r="D479" s="8"/>
      <c r="E479" s="8"/>
    </row>
    <row r="480" spans="1:5" x14ac:dyDescent="0.25">
      <c r="A480" s="1" t="s">
        <v>470</v>
      </c>
      <c r="B480" s="8">
        <v>46186</v>
      </c>
      <c r="C480" s="8">
        <v>45961</v>
      </c>
      <c r="D480" s="8">
        <v>45747</v>
      </c>
      <c r="E480" s="8"/>
    </row>
    <row r="481" spans="1:5" x14ac:dyDescent="0.25">
      <c r="A481" s="1" t="s">
        <v>469</v>
      </c>
      <c r="B481" s="8">
        <v>46069</v>
      </c>
      <c r="C481" s="8">
        <v>45922</v>
      </c>
      <c r="D481" s="8"/>
      <c r="E481" s="8"/>
    </row>
    <row r="482" spans="1:5" x14ac:dyDescent="0.25">
      <c r="A482" s="1" t="s">
        <v>471</v>
      </c>
      <c r="B482" s="8">
        <v>46245</v>
      </c>
      <c r="C482" s="8">
        <v>46107</v>
      </c>
      <c r="D482" s="8">
        <v>45888</v>
      </c>
      <c r="E482" s="8"/>
    </row>
    <row r="483" spans="1:5" x14ac:dyDescent="0.25">
      <c r="A483" s="1" t="s">
        <v>475</v>
      </c>
      <c r="B483" s="8">
        <v>46070</v>
      </c>
      <c r="C483" s="8">
        <v>45946</v>
      </c>
      <c r="D483" s="8"/>
      <c r="E483" s="8"/>
    </row>
    <row r="484" spans="1:5" x14ac:dyDescent="0.25">
      <c r="A484" s="1" t="s">
        <v>472</v>
      </c>
      <c r="B484" s="8">
        <v>46210</v>
      </c>
      <c r="C484" s="8">
        <v>46057</v>
      </c>
      <c r="D484" s="8">
        <v>45747</v>
      </c>
      <c r="E484" s="8"/>
    </row>
    <row r="485" spans="1:5" x14ac:dyDescent="0.25">
      <c r="A485" s="1" t="s">
        <v>474</v>
      </c>
      <c r="B485" s="8">
        <v>46059</v>
      </c>
      <c r="C485" s="8">
        <v>45982</v>
      </c>
      <c r="D485" s="8"/>
      <c r="E485" s="8"/>
    </row>
    <row r="486" spans="1:5" x14ac:dyDescent="0.25">
      <c r="A486" s="1" t="s">
        <v>476</v>
      </c>
      <c r="B486" s="8">
        <v>46070</v>
      </c>
      <c r="C486" s="8">
        <v>45946</v>
      </c>
      <c r="D486" s="8"/>
      <c r="E486" s="8"/>
    </row>
    <row r="487" spans="1:5" x14ac:dyDescent="0.25">
      <c r="A487" s="1" t="s">
        <v>473</v>
      </c>
      <c r="B487" s="8">
        <v>46088</v>
      </c>
      <c r="C487" s="8">
        <v>45875</v>
      </c>
      <c r="D487" s="8"/>
      <c r="E487" s="8"/>
    </row>
    <row r="488" spans="1:5" x14ac:dyDescent="0.25">
      <c r="A488" s="1" t="s">
        <v>480</v>
      </c>
      <c r="B488" s="8">
        <v>46025</v>
      </c>
      <c r="C488" s="8">
        <v>45821</v>
      </c>
      <c r="D488" s="8"/>
      <c r="E488" s="8"/>
    </row>
    <row r="489" spans="1:5" x14ac:dyDescent="0.25">
      <c r="A489" s="1" t="s">
        <v>478</v>
      </c>
      <c r="B489" s="8">
        <v>46155</v>
      </c>
      <c r="C489" s="8">
        <v>46155</v>
      </c>
      <c r="D489" s="8">
        <v>45924</v>
      </c>
      <c r="E489" s="8">
        <v>45747</v>
      </c>
    </row>
    <row r="490" spans="1:5" x14ac:dyDescent="0.25">
      <c r="A490" s="1" t="s">
        <v>479</v>
      </c>
      <c r="B490" s="8">
        <v>46178</v>
      </c>
      <c r="C490" s="8">
        <v>46055</v>
      </c>
      <c r="D490" s="8">
        <v>45859</v>
      </c>
      <c r="E490" s="8"/>
    </row>
    <row r="491" spans="1:5" x14ac:dyDescent="0.25">
      <c r="A491" s="1" t="s">
        <v>481</v>
      </c>
      <c r="B491" s="8">
        <v>46065</v>
      </c>
      <c r="C491" s="8">
        <v>45926</v>
      </c>
      <c r="D491" s="8"/>
      <c r="E491" s="8"/>
    </row>
    <row r="492" spans="1:5" x14ac:dyDescent="0.25">
      <c r="A492" s="1" t="s">
        <v>477</v>
      </c>
      <c r="B492" s="8">
        <v>46070</v>
      </c>
      <c r="C492" s="8">
        <v>45883</v>
      </c>
      <c r="D492" s="8"/>
      <c r="E492" s="8"/>
    </row>
    <row r="493" spans="1:5" x14ac:dyDescent="0.25">
      <c r="A493" s="1" t="s">
        <v>482</v>
      </c>
      <c r="B493" s="8">
        <v>45997</v>
      </c>
      <c r="C493" s="8">
        <v>45961</v>
      </c>
      <c r="D493" s="8">
        <v>45793</v>
      </c>
      <c r="E493" s="8"/>
    </row>
    <row r="494" spans="1:5" x14ac:dyDescent="0.25">
      <c r="A494" s="1" t="s">
        <v>483</v>
      </c>
      <c r="B494" s="8">
        <v>46024</v>
      </c>
      <c r="C494" s="8">
        <v>45912</v>
      </c>
      <c r="D494" s="8">
        <v>45783</v>
      </c>
      <c r="E494" s="8"/>
    </row>
    <row r="495" spans="1:5" x14ac:dyDescent="0.25">
      <c r="A495" s="1" t="s">
        <v>484</v>
      </c>
      <c r="B495" s="8"/>
      <c r="C495" s="8"/>
      <c r="D495" s="8"/>
      <c r="E495" s="8"/>
    </row>
    <row r="496" spans="1:5" x14ac:dyDescent="0.25">
      <c r="A496" s="1" t="s">
        <v>485</v>
      </c>
      <c r="B496" s="8">
        <v>46235</v>
      </c>
      <c r="C496" s="8">
        <v>46024</v>
      </c>
      <c r="D496" s="8">
        <v>45867</v>
      </c>
      <c r="E496" s="8">
        <v>45583</v>
      </c>
    </row>
    <row r="497" spans="1:5" x14ac:dyDescent="0.25">
      <c r="A497" s="1" t="s">
        <v>486</v>
      </c>
      <c r="B497" s="8">
        <v>45849</v>
      </c>
      <c r="C497" s="8">
        <v>45794</v>
      </c>
      <c r="D497" s="8"/>
      <c r="E497" s="8"/>
    </row>
    <row r="498" spans="1:5" x14ac:dyDescent="0.25">
      <c r="A498" s="1" t="s">
        <v>487</v>
      </c>
      <c r="B498" s="8">
        <v>46220</v>
      </c>
      <c r="C498" s="8">
        <v>46076</v>
      </c>
      <c r="D498" s="8">
        <v>46000</v>
      </c>
      <c r="E498" s="8"/>
    </row>
    <row r="499" spans="1:5" x14ac:dyDescent="0.25">
      <c r="A499" s="1" t="s">
        <v>488</v>
      </c>
      <c r="B499" s="8">
        <v>46220</v>
      </c>
      <c r="C499" s="8">
        <v>46045</v>
      </c>
      <c r="D499" s="8">
        <v>45853</v>
      </c>
      <c r="E499" s="8"/>
    </row>
    <row r="500" spans="1:5" x14ac:dyDescent="0.25">
      <c r="A500" s="1" t="s">
        <v>490</v>
      </c>
      <c r="B500" s="8">
        <v>46041</v>
      </c>
      <c r="C500" s="8">
        <v>45982</v>
      </c>
      <c r="D500" s="8">
        <v>45714</v>
      </c>
      <c r="E500" s="8"/>
    </row>
    <row r="501" spans="1:5" x14ac:dyDescent="0.25">
      <c r="A501" s="1" t="s">
        <v>489</v>
      </c>
      <c r="B501" s="8">
        <v>46197</v>
      </c>
      <c r="C501" s="8">
        <v>46197</v>
      </c>
      <c r="D501" s="8">
        <v>46193</v>
      </c>
      <c r="E501" s="8"/>
    </row>
    <row r="502" spans="1:5" x14ac:dyDescent="0.25">
      <c r="A502" s="1" t="s">
        <v>492</v>
      </c>
      <c r="B502" s="8">
        <v>46216</v>
      </c>
      <c r="C502" s="8">
        <v>46053</v>
      </c>
      <c r="D502" s="8">
        <v>45911</v>
      </c>
      <c r="E502" s="8"/>
    </row>
    <row r="503" spans="1:5" x14ac:dyDescent="0.25">
      <c r="A503" s="1" t="s">
        <v>491</v>
      </c>
      <c r="B503" s="8">
        <v>46251</v>
      </c>
      <c r="C503" s="8">
        <v>46045</v>
      </c>
      <c r="D503" s="8">
        <v>45883</v>
      </c>
      <c r="E503" s="8"/>
    </row>
    <row r="504" spans="1:5" x14ac:dyDescent="0.25">
      <c r="A504" s="1" t="s">
        <v>493</v>
      </c>
      <c r="B504" s="8">
        <v>46225</v>
      </c>
      <c r="C504" s="8">
        <v>46028</v>
      </c>
      <c r="D504" s="8">
        <v>45863</v>
      </c>
      <c r="E504" s="8"/>
    </row>
    <row r="505" spans="1:5" x14ac:dyDescent="0.25">
      <c r="A505" s="1" t="s">
        <v>496</v>
      </c>
      <c r="B505" s="8">
        <v>46025</v>
      </c>
      <c r="C505" s="8">
        <v>45822</v>
      </c>
      <c r="D505" s="8"/>
      <c r="E505" s="8"/>
    </row>
    <row r="506" spans="1:5" x14ac:dyDescent="0.25">
      <c r="A506" s="1" t="s">
        <v>495</v>
      </c>
      <c r="B506" s="8">
        <v>46045</v>
      </c>
      <c r="C506" s="8">
        <v>45855</v>
      </c>
      <c r="D506" s="8"/>
      <c r="E506" s="8"/>
    </row>
    <row r="507" spans="1:5" x14ac:dyDescent="0.25">
      <c r="A507" s="1" t="s">
        <v>494</v>
      </c>
      <c r="B507" s="8">
        <v>46212</v>
      </c>
      <c r="C507" s="8">
        <v>46007</v>
      </c>
      <c r="D507" s="8">
        <v>45829</v>
      </c>
      <c r="E507" s="8"/>
    </row>
    <row r="508" spans="1:5" x14ac:dyDescent="0.25">
      <c r="A508" s="1" t="s">
        <v>497</v>
      </c>
      <c r="B508" s="8">
        <v>46239</v>
      </c>
      <c r="C508" s="8">
        <v>46011</v>
      </c>
      <c r="D508" s="8">
        <v>45799</v>
      </c>
      <c r="E508" s="8"/>
    </row>
    <row r="509" spans="1:5" x14ac:dyDescent="0.25">
      <c r="A509" s="1" t="s">
        <v>498</v>
      </c>
      <c r="B509" s="8">
        <v>46193</v>
      </c>
      <c r="C509" s="8">
        <v>45962</v>
      </c>
      <c r="D509" s="8"/>
      <c r="E509" s="8"/>
    </row>
    <row r="510" spans="1:5" x14ac:dyDescent="0.25">
      <c r="A510" s="1" t="s">
        <v>499</v>
      </c>
      <c r="B510" s="8">
        <v>46055</v>
      </c>
      <c r="C510" s="8">
        <v>45852</v>
      </c>
      <c r="D510" s="8"/>
      <c r="E510" s="8"/>
    </row>
    <row r="511" spans="1:5" x14ac:dyDescent="0.25">
      <c r="A511" s="1" t="s">
        <v>500</v>
      </c>
      <c r="B511" s="8">
        <v>46211</v>
      </c>
      <c r="C511" s="8">
        <v>45966</v>
      </c>
      <c r="D511" s="8">
        <v>45881</v>
      </c>
      <c r="E511" s="8"/>
    </row>
    <row r="512" spans="1:5" x14ac:dyDescent="0.25">
      <c r="A512" s="1" t="s">
        <v>501</v>
      </c>
      <c r="B512" s="8">
        <v>46189</v>
      </c>
      <c r="C512" s="8">
        <v>46030</v>
      </c>
      <c r="D512" s="8">
        <v>45910</v>
      </c>
      <c r="E512" s="8">
        <v>45749</v>
      </c>
    </row>
    <row r="513" spans="1:5" x14ac:dyDescent="0.25">
      <c r="A513" s="1" t="s">
        <v>502</v>
      </c>
      <c r="B513" s="8">
        <v>46031</v>
      </c>
      <c r="C513" s="8">
        <v>45864</v>
      </c>
      <c r="D513" s="8"/>
      <c r="E513" s="8"/>
    </row>
    <row r="514" spans="1:5" x14ac:dyDescent="0.25">
      <c r="A514" s="1" t="s">
        <v>503</v>
      </c>
      <c r="B514" s="8">
        <v>45947</v>
      </c>
      <c r="C514" s="8">
        <v>45827</v>
      </c>
      <c r="D514" s="8"/>
      <c r="E514" s="8"/>
    </row>
    <row r="515" spans="1:5" x14ac:dyDescent="0.25">
      <c r="A515" s="1" t="s">
        <v>506</v>
      </c>
      <c r="B515" s="8">
        <v>46093</v>
      </c>
      <c r="C515" s="8">
        <v>45875</v>
      </c>
      <c r="D515" s="8"/>
      <c r="E515" s="8"/>
    </row>
    <row r="516" spans="1:5" x14ac:dyDescent="0.25">
      <c r="A516" s="1" t="s">
        <v>505</v>
      </c>
      <c r="B516" s="8">
        <v>46241</v>
      </c>
      <c r="C516" s="8">
        <v>46052</v>
      </c>
      <c r="D516" s="8">
        <v>45856</v>
      </c>
      <c r="E516" s="8"/>
    </row>
    <row r="517" spans="1:5" x14ac:dyDescent="0.25">
      <c r="A517" s="1" t="s">
        <v>504</v>
      </c>
      <c r="B517" s="8">
        <v>46211</v>
      </c>
      <c r="C517" s="8">
        <v>46030</v>
      </c>
      <c r="D517" s="8">
        <v>45856</v>
      </c>
      <c r="E517" s="8"/>
    </row>
    <row r="518" spans="1:5" x14ac:dyDescent="0.25">
      <c r="A518" s="1" t="s">
        <v>507</v>
      </c>
      <c r="B518" s="8">
        <v>46263</v>
      </c>
      <c r="C518" s="8">
        <v>46028</v>
      </c>
      <c r="D518" s="8">
        <v>45831</v>
      </c>
      <c r="E518" s="8"/>
    </row>
    <row r="519" spans="1:5" x14ac:dyDescent="0.25">
      <c r="A519" s="1" t="s">
        <v>508</v>
      </c>
      <c r="B519" s="8">
        <v>46276</v>
      </c>
      <c r="C519" s="8">
        <v>46028</v>
      </c>
      <c r="D519" s="8">
        <v>45831</v>
      </c>
      <c r="E519" s="8"/>
    </row>
    <row r="520" spans="1:5" x14ac:dyDescent="0.25">
      <c r="A520" s="1" t="s">
        <v>509</v>
      </c>
      <c r="B520" s="8">
        <v>46059</v>
      </c>
      <c r="C520" s="8">
        <v>45855</v>
      </c>
      <c r="D520" s="8"/>
      <c r="E520" s="8"/>
    </row>
    <row r="521" spans="1:5" x14ac:dyDescent="0.25">
      <c r="A521" s="1" t="s">
        <v>510</v>
      </c>
      <c r="B521" s="8">
        <v>46213</v>
      </c>
      <c r="C521" s="8">
        <v>46041</v>
      </c>
      <c r="D521" s="8">
        <v>45818</v>
      </c>
      <c r="E521" s="8"/>
    </row>
    <row r="522" spans="1:5" x14ac:dyDescent="0.25">
      <c r="A522" s="1" t="s">
        <v>511</v>
      </c>
      <c r="B522" s="8">
        <v>46001</v>
      </c>
      <c r="C522" s="8">
        <v>45821</v>
      </c>
      <c r="D522" s="8"/>
      <c r="E522" s="8"/>
    </row>
    <row r="523" spans="1:5" x14ac:dyDescent="0.25">
      <c r="A523" s="1" t="s">
        <v>512</v>
      </c>
      <c r="B523" s="8">
        <v>45999</v>
      </c>
      <c r="C523" s="8">
        <v>45826</v>
      </c>
      <c r="D523" s="8"/>
      <c r="E523" s="8"/>
    </row>
    <row r="524" spans="1:5" x14ac:dyDescent="0.25">
      <c r="A524" s="1" t="s">
        <v>513</v>
      </c>
      <c r="B524" s="8">
        <v>46051</v>
      </c>
      <c r="C524" s="8">
        <v>45824</v>
      </c>
      <c r="D524" s="8"/>
      <c r="E524" s="8"/>
    </row>
    <row r="525" spans="1:5" x14ac:dyDescent="0.25">
      <c r="A525" s="1" t="s">
        <v>516</v>
      </c>
      <c r="B525" s="8"/>
      <c r="C525" s="8"/>
      <c r="D525" s="8"/>
      <c r="E525" s="8"/>
    </row>
    <row r="526" spans="1:5" x14ac:dyDescent="0.25">
      <c r="A526" s="1" t="s">
        <v>515</v>
      </c>
      <c r="B526" s="8">
        <v>46063</v>
      </c>
      <c r="C526" s="8">
        <v>45908</v>
      </c>
      <c r="D526" s="8"/>
      <c r="E526" s="8"/>
    </row>
    <row r="527" spans="1:5" x14ac:dyDescent="0.25">
      <c r="A527" s="1" t="s">
        <v>517</v>
      </c>
      <c r="B527" s="8"/>
      <c r="C527" s="8"/>
      <c r="D527" s="8"/>
      <c r="E527" s="8"/>
    </row>
    <row r="528" spans="1:5" x14ac:dyDescent="0.25">
      <c r="A528" s="1" t="s">
        <v>524</v>
      </c>
      <c r="B528" s="8"/>
      <c r="C528" s="8"/>
      <c r="D528" s="8"/>
      <c r="E528" s="8"/>
    </row>
    <row r="529" spans="1:5" x14ac:dyDescent="0.25">
      <c r="A529" s="1" t="s">
        <v>519</v>
      </c>
      <c r="B529" s="8"/>
      <c r="C529" s="8"/>
      <c r="D529" s="8"/>
      <c r="E529" s="8"/>
    </row>
    <row r="530" spans="1:5" x14ac:dyDescent="0.25">
      <c r="A530" s="1" t="s">
        <v>523</v>
      </c>
      <c r="B530" s="8"/>
      <c r="C530" s="8"/>
      <c r="D530" s="8"/>
      <c r="E530" s="8"/>
    </row>
    <row r="531" spans="1:5" x14ac:dyDescent="0.25">
      <c r="A531" s="1" t="s">
        <v>521</v>
      </c>
      <c r="B531" s="8"/>
      <c r="C531" s="8"/>
      <c r="D531" s="8"/>
      <c r="E531" s="8"/>
    </row>
    <row r="532" spans="1:5" x14ac:dyDescent="0.25">
      <c r="A532" s="1" t="s">
        <v>522</v>
      </c>
      <c r="B532" s="8"/>
      <c r="C532" s="8"/>
      <c r="D532" s="8"/>
      <c r="E532" s="8"/>
    </row>
    <row r="533" spans="1:5" x14ac:dyDescent="0.25">
      <c r="A533" s="1" t="s">
        <v>518</v>
      </c>
      <c r="B533" s="8"/>
      <c r="C533" s="8"/>
      <c r="D533" s="8"/>
      <c r="E533" s="8"/>
    </row>
    <row r="534" spans="1:5" x14ac:dyDescent="0.25">
      <c r="A534" s="1" t="s">
        <v>525</v>
      </c>
      <c r="B534" s="8"/>
      <c r="C534" s="8"/>
      <c r="D534" s="8"/>
      <c r="E534" s="8"/>
    </row>
    <row r="535" spans="1:5" x14ac:dyDescent="0.25">
      <c r="A535" s="1" t="s">
        <v>526</v>
      </c>
      <c r="B535" s="8"/>
      <c r="C535" s="8"/>
      <c r="D535" s="8"/>
      <c r="E535" s="8"/>
    </row>
    <row r="536" spans="1:5" x14ac:dyDescent="0.25">
      <c r="A536" s="1" t="s">
        <v>520</v>
      </c>
      <c r="B536" s="8"/>
      <c r="C536" s="8"/>
      <c r="D536" s="8"/>
      <c r="E536" s="8"/>
    </row>
    <row r="537" spans="1:5" x14ac:dyDescent="0.25">
      <c r="A537" s="1" t="s">
        <v>527</v>
      </c>
      <c r="B537" s="8">
        <v>46135</v>
      </c>
      <c r="C537" s="8">
        <v>45989</v>
      </c>
      <c r="D537" s="8">
        <v>45797</v>
      </c>
      <c r="E537" s="8"/>
    </row>
    <row r="538" spans="1:5" x14ac:dyDescent="0.25">
      <c r="A538" s="1" t="s">
        <v>528</v>
      </c>
      <c r="B538" s="8"/>
      <c r="C538" s="8"/>
      <c r="D538" s="8"/>
      <c r="E538" s="8"/>
    </row>
    <row r="539" spans="1:5" x14ac:dyDescent="0.25">
      <c r="A539" s="1" t="s">
        <v>530</v>
      </c>
      <c r="B539" s="8"/>
      <c r="C539" s="8"/>
      <c r="D539" s="8"/>
      <c r="E539" s="8"/>
    </row>
    <row r="540" spans="1:5" x14ac:dyDescent="0.25">
      <c r="A540" s="1" t="s">
        <v>529</v>
      </c>
      <c r="B540" s="8">
        <v>46000</v>
      </c>
      <c r="C540" s="8">
        <v>45805</v>
      </c>
      <c r="D540" s="8"/>
      <c r="E540" s="8"/>
    </row>
    <row r="541" spans="1:5" x14ac:dyDescent="0.25">
      <c r="A541" s="1" t="s">
        <v>531</v>
      </c>
      <c r="B541" s="8">
        <v>46000</v>
      </c>
      <c r="C541" s="8">
        <v>45805</v>
      </c>
      <c r="D541" s="8"/>
      <c r="E541" s="8"/>
    </row>
    <row r="542" spans="1:5" x14ac:dyDescent="0.25">
      <c r="A542" s="1" t="s">
        <v>532</v>
      </c>
      <c r="B542" s="8">
        <v>46149</v>
      </c>
      <c r="C542" s="8">
        <v>46060</v>
      </c>
      <c r="D542" s="8">
        <v>45957</v>
      </c>
      <c r="E542" s="8">
        <v>45807</v>
      </c>
    </row>
    <row r="543" spans="1:5" x14ac:dyDescent="0.25">
      <c r="A543" s="1" t="s">
        <v>533</v>
      </c>
      <c r="B543" s="8">
        <v>45995</v>
      </c>
      <c r="C543" s="8">
        <v>45805</v>
      </c>
      <c r="D543" s="8"/>
      <c r="E543" s="8"/>
    </row>
    <row r="544" spans="1:5" x14ac:dyDescent="0.25">
      <c r="A544" s="1" t="s">
        <v>536</v>
      </c>
      <c r="B544" s="8">
        <v>45959</v>
      </c>
      <c r="C544" s="8">
        <v>45798</v>
      </c>
      <c r="D544" s="8"/>
      <c r="E544" s="8"/>
    </row>
    <row r="545" spans="1:5" x14ac:dyDescent="0.25">
      <c r="A545" s="1" t="s">
        <v>535</v>
      </c>
      <c r="B545" s="8">
        <v>46308</v>
      </c>
      <c r="C545" s="8">
        <v>46171</v>
      </c>
      <c r="D545" s="8">
        <v>46001</v>
      </c>
      <c r="E545" s="8">
        <v>45968</v>
      </c>
    </row>
    <row r="546" spans="1:5" x14ac:dyDescent="0.25">
      <c r="A546" s="1" t="s">
        <v>538</v>
      </c>
      <c r="B546" s="8">
        <v>45995</v>
      </c>
      <c r="C546" s="8">
        <v>45806</v>
      </c>
      <c r="D546" s="8"/>
      <c r="E546" s="8"/>
    </row>
    <row r="547" spans="1:5" x14ac:dyDescent="0.25">
      <c r="A547" s="1" t="s">
        <v>534</v>
      </c>
      <c r="B547" s="8">
        <v>46316</v>
      </c>
      <c r="C547" s="8">
        <v>46170</v>
      </c>
      <c r="D547" s="8">
        <v>45999</v>
      </c>
      <c r="E547" s="8">
        <v>45794</v>
      </c>
    </row>
    <row r="548" spans="1:5" x14ac:dyDescent="0.25">
      <c r="A548" s="1" t="s">
        <v>537</v>
      </c>
      <c r="B548" s="8">
        <v>45995</v>
      </c>
      <c r="C548" s="8">
        <v>45806</v>
      </c>
      <c r="D548" s="8"/>
      <c r="E548" s="8"/>
    </row>
    <row r="549" spans="1:5" x14ac:dyDescent="0.25">
      <c r="A549" s="1" t="s">
        <v>540</v>
      </c>
      <c r="B549" s="8">
        <v>46240</v>
      </c>
      <c r="C549" s="8">
        <v>45934</v>
      </c>
      <c r="D549" s="8">
        <v>45784</v>
      </c>
      <c r="E549" s="8"/>
    </row>
    <row r="550" spans="1:5" x14ac:dyDescent="0.25">
      <c r="A550" s="1" t="s">
        <v>539</v>
      </c>
      <c r="B550" s="8">
        <v>46024</v>
      </c>
      <c r="C550" s="8">
        <v>45856</v>
      </c>
      <c r="D550" s="8"/>
      <c r="E550" s="8"/>
    </row>
    <row r="551" spans="1:5" x14ac:dyDescent="0.25">
      <c r="A551" s="1" t="s">
        <v>541</v>
      </c>
      <c r="B551" s="8">
        <v>46171</v>
      </c>
      <c r="C551" s="8">
        <v>46009</v>
      </c>
      <c r="D551" s="8">
        <v>45853</v>
      </c>
      <c r="E551" s="8"/>
    </row>
    <row r="552" spans="1:5" x14ac:dyDescent="0.25">
      <c r="A552" s="1" t="s">
        <v>542</v>
      </c>
      <c r="B552" s="8">
        <v>46188</v>
      </c>
      <c r="C552" s="8">
        <v>45947</v>
      </c>
      <c r="D552" s="8">
        <v>45770</v>
      </c>
      <c r="E552" s="8"/>
    </row>
    <row r="553" spans="1:5" x14ac:dyDescent="0.25">
      <c r="A553" s="1" t="s">
        <v>543</v>
      </c>
      <c r="B553" s="8">
        <v>45981</v>
      </c>
      <c r="C553" s="8">
        <v>45794</v>
      </c>
      <c r="D553" s="8"/>
      <c r="E553" s="8"/>
    </row>
    <row r="554" spans="1:5" x14ac:dyDescent="0.25">
      <c r="A554" s="1" t="s">
        <v>544</v>
      </c>
      <c r="B554" s="8">
        <v>46009</v>
      </c>
      <c r="C554" s="8">
        <v>45784</v>
      </c>
      <c r="D554" s="8"/>
      <c r="E554" s="8"/>
    </row>
    <row r="555" spans="1:5" x14ac:dyDescent="0.25">
      <c r="A555" s="1" t="s">
        <v>545</v>
      </c>
      <c r="B555" s="8">
        <v>46010</v>
      </c>
      <c r="C555" s="8">
        <v>45817</v>
      </c>
      <c r="D555" s="8"/>
      <c r="E555" s="8"/>
    </row>
    <row r="556" spans="1:5" x14ac:dyDescent="0.25">
      <c r="A556" s="1" t="s">
        <v>546</v>
      </c>
      <c r="B556" s="8">
        <v>46289</v>
      </c>
      <c r="C556" s="8">
        <v>46093</v>
      </c>
      <c r="D556" s="8">
        <v>45870</v>
      </c>
      <c r="E556" s="8">
        <v>45861</v>
      </c>
    </row>
    <row r="557" spans="1:5" x14ac:dyDescent="0.25">
      <c r="A557" s="1" t="s">
        <v>547</v>
      </c>
      <c r="B557" s="8">
        <v>46160</v>
      </c>
      <c r="C557" s="8">
        <v>45946</v>
      </c>
      <c r="D557" s="8">
        <v>45757</v>
      </c>
      <c r="E557" s="8"/>
    </row>
    <row r="558" spans="1:5" x14ac:dyDescent="0.25">
      <c r="A558" s="1" t="s">
        <v>550</v>
      </c>
      <c r="B558" s="8">
        <v>46044</v>
      </c>
      <c r="C558" s="8">
        <v>45842</v>
      </c>
      <c r="D558" s="8"/>
      <c r="E558" s="8"/>
    </row>
    <row r="559" spans="1:5" x14ac:dyDescent="0.25">
      <c r="A559" s="1" t="s">
        <v>549</v>
      </c>
      <c r="B559" s="8">
        <v>46201</v>
      </c>
      <c r="C559" s="8">
        <v>45983</v>
      </c>
      <c r="D559" s="8">
        <v>45744</v>
      </c>
      <c r="E559" s="8"/>
    </row>
    <row r="560" spans="1:5" x14ac:dyDescent="0.25">
      <c r="A560" s="1" t="s">
        <v>548</v>
      </c>
      <c r="B560" s="8">
        <v>46320</v>
      </c>
      <c r="C560" s="8">
        <v>46302</v>
      </c>
      <c r="D560" s="8">
        <v>46191</v>
      </c>
      <c r="E560" s="8">
        <v>46105</v>
      </c>
    </row>
    <row r="561" spans="1:5" x14ac:dyDescent="0.25">
      <c r="A561" s="1" t="s">
        <v>552</v>
      </c>
      <c r="B561" s="8">
        <v>46291</v>
      </c>
      <c r="C561" s="8">
        <v>45960</v>
      </c>
      <c r="D561" s="8">
        <v>45812</v>
      </c>
      <c r="E561" s="8"/>
    </row>
    <row r="562" spans="1:5" x14ac:dyDescent="0.25">
      <c r="A562" s="1" t="s">
        <v>551</v>
      </c>
      <c r="B562" s="8">
        <v>46147</v>
      </c>
      <c r="C562" s="8">
        <v>45936</v>
      </c>
      <c r="D562" s="8">
        <v>45775</v>
      </c>
      <c r="E562" s="8"/>
    </row>
    <row r="563" spans="1:5" x14ac:dyDescent="0.25">
      <c r="A563" s="1" t="s">
        <v>553</v>
      </c>
      <c r="B563" s="8">
        <v>45933</v>
      </c>
      <c r="C563" s="8">
        <v>45792</v>
      </c>
      <c r="D563" s="8"/>
      <c r="E563" s="8"/>
    </row>
    <row r="564" spans="1:5" x14ac:dyDescent="0.25">
      <c r="A564" s="1" t="s">
        <v>557</v>
      </c>
      <c r="B564" s="8">
        <v>46116</v>
      </c>
      <c r="C564" s="8">
        <v>45939</v>
      </c>
      <c r="D564" s="8">
        <v>45775</v>
      </c>
      <c r="E564" s="8"/>
    </row>
    <row r="565" spans="1:5" x14ac:dyDescent="0.25">
      <c r="A565" s="1" t="s">
        <v>554</v>
      </c>
      <c r="B565" s="8">
        <v>46116</v>
      </c>
      <c r="C565" s="8">
        <v>45939</v>
      </c>
      <c r="D565" s="8">
        <v>45775</v>
      </c>
      <c r="E565" s="8"/>
    </row>
    <row r="566" spans="1:5" x14ac:dyDescent="0.25">
      <c r="A566" s="1" t="s">
        <v>556</v>
      </c>
      <c r="B566" s="8">
        <v>46116</v>
      </c>
      <c r="C566" s="8">
        <v>45939</v>
      </c>
      <c r="D566" s="8">
        <v>45775</v>
      </c>
      <c r="E566" s="8"/>
    </row>
    <row r="567" spans="1:5" x14ac:dyDescent="0.25">
      <c r="A567" s="1" t="s">
        <v>555</v>
      </c>
      <c r="B567" s="8">
        <v>46116</v>
      </c>
      <c r="C567" s="8">
        <v>45939</v>
      </c>
      <c r="D567" s="8">
        <v>45775</v>
      </c>
      <c r="E567" s="8"/>
    </row>
    <row r="568" spans="1:5" x14ac:dyDescent="0.25">
      <c r="A568" s="1" t="s">
        <v>558</v>
      </c>
      <c r="B568" s="8">
        <v>46260</v>
      </c>
      <c r="C568" s="8">
        <v>46148</v>
      </c>
      <c r="D568" s="8">
        <v>45956</v>
      </c>
      <c r="E568" s="8">
        <v>45783</v>
      </c>
    </row>
    <row r="569" spans="1:5" x14ac:dyDescent="0.25">
      <c r="A569" s="1" t="s">
        <v>559</v>
      </c>
      <c r="B569" s="8">
        <v>46289</v>
      </c>
      <c r="C569" s="8">
        <v>46155</v>
      </c>
      <c r="D569" s="8">
        <v>45995</v>
      </c>
      <c r="E569" s="8">
        <v>45751</v>
      </c>
    </row>
    <row r="570" spans="1:5" x14ac:dyDescent="0.25">
      <c r="A570" s="1" t="s">
        <v>560</v>
      </c>
      <c r="B570" s="8">
        <v>46155</v>
      </c>
      <c r="C570" s="8">
        <v>45995</v>
      </c>
      <c r="D570" s="8"/>
      <c r="E570" s="8"/>
    </row>
    <row r="571" spans="1:5" x14ac:dyDescent="0.25">
      <c r="A571" s="1" t="s">
        <v>561</v>
      </c>
      <c r="B571" s="8">
        <v>46154</v>
      </c>
      <c r="C571" s="8">
        <v>45967</v>
      </c>
      <c r="D571" s="8">
        <v>45705</v>
      </c>
      <c r="E571" s="8"/>
    </row>
    <row r="572" spans="1:5" x14ac:dyDescent="0.25">
      <c r="A572" s="1" t="s">
        <v>562</v>
      </c>
      <c r="B572" s="8">
        <v>45940</v>
      </c>
      <c r="C572" s="8">
        <v>45756</v>
      </c>
      <c r="D572" s="8"/>
      <c r="E572" s="8"/>
    </row>
    <row r="573" spans="1:5" x14ac:dyDescent="0.25">
      <c r="A573" s="1" t="s">
        <v>563</v>
      </c>
      <c r="B573" s="8">
        <v>45939</v>
      </c>
      <c r="C573" s="8">
        <v>45777</v>
      </c>
      <c r="D573" s="8"/>
      <c r="E573" s="8"/>
    </row>
    <row r="574" spans="1:5" x14ac:dyDescent="0.25">
      <c r="A574" s="1" t="s">
        <v>564</v>
      </c>
      <c r="B574" s="8">
        <v>45918</v>
      </c>
      <c r="C574" s="8">
        <v>45780</v>
      </c>
      <c r="D574" s="8"/>
      <c r="E574" s="8"/>
    </row>
    <row r="575" spans="1:5" x14ac:dyDescent="0.25">
      <c r="A575" s="1" t="s">
        <v>565</v>
      </c>
      <c r="B575" s="8">
        <v>46070</v>
      </c>
      <c r="C575" s="8">
        <v>45797</v>
      </c>
      <c r="D575" s="8"/>
      <c r="E575" s="8"/>
    </row>
    <row r="576" spans="1:5" x14ac:dyDescent="0.25">
      <c r="A576" s="1" t="s">
        <v>566</v>
      </c>
      <c r="B576" s="8">
        <v>45912</v>
      </c>
      <c r="C576" s="8">
        <v>45735</v>
      </c>
      <c r="D576" s="8"/>
      <c r="E576" s="8"/>
    </row>
    <row r="577" spans="1:5" x14ac:dyDescent="0.25">
      <c r="A577" s="1" t="s">
        <v>569</v>
      </c>
      <c r="B577" s="8">
        <v>46141</v>
      </c>
      <c r="C577" s="8">
        <v>45924</v>
      </c>
      <c r="D577" s="8">
        <v>45735</v>
      </c>
      <c r="E577" s="8"/>
    </row>
    <row r="578" spans="1:5" x14ac:dyDescent="0.25">
      <c r="A578" s="1" t="s">
        <v>568</v>
      </c>
      <c r="B578" s="8">
        <v>45920</v>
      </c>
      <c r="C578" s="8">
        <v>45722</v>
      </c>
      <c r="D578" s="8"/>
      <c r="E578" s="8"/>
    </row>
    <row r="579" spans="1:5" x14ac:dyDescent="0.25">
      <c r="A579" s="1" t="s">
        <v>567</v>
      </c>
      <c r="B579" s="8">
        <v>45920</v>
      </c>
      <c r="C579" s="8">
        <v>45722</v>
      </c>
      <c r="D579" s="8"/>
      <c r="E579" s="8"/>
    </row>
    <row r="580" spans="1:5" x14ac:dyDescent="0.25">
      <c r="A580" s="1" t="s">
        <v>572</v>
      </c>
      <c r="B580" s="8">
        <v>45820</v>
      </c>
      <c r="C580" s="8">
        <v>45719</v>
      </c>
      <c r="D580" s="8"/>
      <c r="E580" s="8"/>
    </row>
    <row r="581" spans="1:5" x14ac:dyDescent="0.25">
      <c r="A581" s="1" t="s">
        <v>570</v>
      </c>
      <c r="B581" s="8">
        <v>45908</v>
      </c>
      <c r="C581" s="8">
        <v>45772</v>
      </c>
      <c r="D581" s="8"/>
      <c r="E581" s="8"/>
    </row>
    <row r="582" spans="1:5" x14ac:dyDescent="0.25">
      <c r="A582" s="1" t="s">
        <v>571</v>
      </c>
      <c r="B582" s="8">
        <v>45908</v>
      </c>
      <c r="C582" s="8">
        <v>45772</v>
      </c>
      <c r="D582" s="8"/>
      <c r="E582" s="8"/>
    </row>
    <row r="583" spans="1:5" x14ac:dyDescent="0.25">
      <c r="A583" s="1" t="s">
        <v>573</v>
      </c>
      <c r="B583" s="8">
        <v>45938</v>
      </c>
      <c r="C583" s="8">
        <v>45821</v>
      </c>
      <c r="D583" s="8"/>
      <c r="E583" s="8"/>
    </row>
    <row r="584" spans="1:5" x14ac:dyDescent="0.25">
      <c r="A584" s="1" t="s">
        <v>574</v>
      </c>
      <c r="B584" s="8">
        <v>46181</v>
      </c>
      <c r="C584" s="8">
        <v>45974</v>
      </c>
      <c r="D584" s="8">
        <v>45876</v>
      </c>
      <c r="E584" s="8">
        <v>45741</v>
      </c>
    </row>
    <row r="585" spans="1:5" x14ac:dyDescent="0.25">
      <c r="A585" s="1" t="s">
        <v>575</v>
      </c>
      <c r="B585" s="8">
        <v>45915</v>
      </c>
      <c r="C585" s="8">
        <v>45721</v>
      </c>
      <c r="D585" s="8"/>
      <c r="E585" s="8"/>
    </row>
    <row r="586" spans="1:5" x14ac:dyDescent="0.25">
      <c r="A586" s="1" t="s">
        <v>576</v>
      </c>
      <c r="B586" s="8">
        <v>46302</v>
      </c>
      <c r="C586" s="8">
        <v>45915</v>
      </c>
      <c r="D586" s="8">
        <v>45721</v>
      </c>
      <c r="E586" s="8"/>
    </row>
    <row r="587" spans="1:5" x14ac:dyDescent="0.25">
      <c r="A587" s="1" t="s">
        <v>577</v>
      </c>
      <c r="B587" s="8">
        <v>46293</v>
      </c>
      <c r="C587" s="8">
        <v>46196</v>
      </c>
      <c r="D587" s="8">
        <v>46010</v>
      </c>
      <c r="E587" s="8">
        <v>45866</v>
      </c>
    </row>
    <row r="588" spans="1:5" x14ac:dyDescent="0.25">
      <c r="A588" s="1" t="s">
        <v>578</v>
      </c>
      <c r="B588" s="8">
        <v>45945</v>
      </c>
      <c r="C588" s="8">
        <v>45745</v>
      </c>
      <c r="D588" s="8"/>
      <c r="E588" s="8"/>
    </row>
    <row r="589" spans="1:5" x14ac:dyDescent="0.25">
      <c r="A589" s="1" t="s">
        <v>579</v>
      </c>
      <c r="B589" s="8">
        <v>45892</v>
      </c>
      <c r="C589" s="8">
        <v>45742</v>
      </c>
      <c r="D589" s="8"/>
      <c r="E589" s="8"/>
    </row>
    <row r="590" spans="1:5" x14ac:dyDescent="0.25">
      <c r="A590" s="1" t="s">
        <v>580</v>
      </c>
      <c r="B590" s="8">
        <v>45820</v>
      </c>
      <c r="C590" s="8">
        <v>45700</v>
      </c>
      <c r="D590" s="8"/>
      <c r="E590" s="8"/>
    </row>
    <row r="591" spans="1:5" x14ac:dyDescent="0.25">
      <c r="A591" s="1" t="s">
        <v>581</v>
      </c>
      <c r="B591" s="8">
        <v>45818</v>
      </c>
      <c r="C591" s="8">
        <v>45703</v>
      </c>
      <c r="D591" s="8"/>
      <c r="E591" s="8"/>
    </row>
    <row r="592" spans="1:5" x14ac:dyDescent="0.25">
      <c r="A592" s="1" t="s">
        <v>582</v>
      </c>
      <c r="B592" s="8">
        <v>46184</v>
      </c>
      <c r="C592" s="8">
        <v>46028</v>
      </c>
      <c r="D592" s="8">
        <v>45972</v>
      </c>
      <c r="E592" s="8">
        <v>45967</v>
      </c>
    </row>
    <row r="593" spans="1:5" x14ac:dyDescent="0.25">
      <c r="A593" s="1" t="s">
        <v>583</v>
      </c>
      <c r="B593" s="8">
        <v>46280</v>
      </c>
      <c r="C593" s="8">
        <v>46108</v>
      </c>
      <c r="D593" s="8">
        <v>45929</v>
      </c>
      <c r="E593" s="8">
        <v>45754</v>
      </c>
    </row>
    <row r="594" spans="1:5" x14ac:dyDescent="0.25">
      <c r="A594" s="1" t="s">
        <v>585</v>
      </c>
      <c r="B594" s="8">
        <v>45919</v>
      </c>
      <c r="C594" s="8">
        <v>45755</v>
      </c>
      <c r="D594" s="8"/>
      <c r="E594" s="8"/>
    </row>
    <row r="595" spans="1:5" x14ac:dyDescent="0.25">
      <c r="A595" s="1" t="s">
        <v>584</v>
      </c>
      <c r="B595" s="8">
        <v>46290</v>
      </c>
      <c r="C595" s="8">
        <v>46202</v>
      </c>
      <c r="D595" s="8">
        <v>46051</v>
      </c>
      <c r="E595" s="8">
        <v>45946</v>
      </c>
    </row>
    <row r="596" spans="1:5" x14ac:dyDescent="0.25">
      <c r="A596" s="1" t="s">
        <v>586</v>
      </c>
      <c r="B596" s="8">
        <v>46276</v>
      </c>
      <c r="C596" s="8">
        <v>46141</v>
      </c>
      <c r="D596" s="8">
        <v>45989</v>
      </c>
      <c r="E596" s="8">
        <v>45695</v>
      </c>
    </row>
    <row r="597" spans="1:5" x14ac:dyDescent="0.25">
      <c r="A597" s="1" t="s">
        <v>587</v>
      </c>
      <c r="B597" s="8">
        <v>46284</v>
      </c>
      <c r="C597" s="8">
        <v>46136</v>
      </c>
      <c r="D597" s="8">
        <v>45930</v>
      </c>
      <c r="E597" s="8">
        <v>45736</v>
      </c>
    </row>
    <row r="598" spans="1:5" x14ac:dyDescent="0.25">
      <c r="A598" s="1" t="s">
        <v>588</v>
      </c>
      <c r="B598" s="8">
        <v>46210</v>
      </c>
      <c r="C598" s="8">
        <v>46056</v>
      </c>
      <c r="D598" s="8">
        <v>45747</v>
      </c>
      <c r="E598" s="8"/>
    </row>
    <row r="599" spans="1:5" x14ac:dyDescent="0.25">
      <c r="A599" s="1" t="s">
        <v>589</v>
      </c>
      <c r="B599" s="8">
        <v>45882</v>
      </c>
      <c r="C599" s="8"/>
      <c r="D599" s="8"/>
      <c r="E599" s="8"/>
    </row>
    <row r="600" spans="1:5" x14ac:dyDescent="0.25">
      <c r="A600" s="1" t="s">
        <v>591</v>
      </c>
      <c r="B600" s="8">
        <v>45911</v>
      </c>
      <c r="C600" s="8">
        <v>45701</v>
      </c>
      <c r="D600" s="8"/>
      <c r="E600" s="8"/>
    </row>
    <row r="601" spans="1:5" x14ac:dyDescent="0.25">
      <c r="A601" s="1" t="s">
        <v>590</v>
      </c>
      <c r="B601" s="8">
        <v>45846</v>
      </c>
      <c r="C601" s="8">
        <v>45719</v>
      </c>
      <c r="D601" s="8"/>
      <c r="E601" s="8"/>
    </row>
    <row r="602" spans="1:5" x14ac:dyDescent="0.25">
      <c r="A602" s="1" t="s">
        <v>592</v>
      </c>
      <c r="B602" s="8">
        <v>45835</v>
      </c>
      <c r="C602" s="8">
        <v>45713</v>
      </c>
      <c r="D602" s="8">
        <v>45601</v>
      </c>
      <c r="E602" s="8"/>
    </row>
    <row r="603" spans="1:5" x14ac:dyDescent="0.25">
      <c r="A603" s="1" t="s">
        <v>593</v>
      </c>
      <c r="B603" s="8">
        <v>46251</v>
      </c>
      <c r="C603" s="8">
        <v>45906</v>
      </c>
      <c r="D603" s="8">
        <v>45713</v>
      </c>
      <c r="E603" s="8"/>
    </row>
    <row r="604" spans="1:5" x14ac:dyDescent="0.25">
      <c r="A604" s="1" t="s">
        <v>594</v>
      </c>
      <c r="B604" s="8">
        <v>46235</v>
      </c>
      <c r="C604" s="8">
        <v>46116</v>
      </c>
      <c r="D604" s="8">
        <v>45936</v>
      </c>
      <c r="E604" s="8">
        <v>45764</v>
      </c>
    </row>
    <row r="605" spans="1:5" x14ac:dyDescent="0.25">
      <c r="A605" s="1" t="s">
        <v>595</v>
      </c>
      <c r="B605" s="8">
        <v>45958</v>
      </c>
      <c r="C605" s="8">
        <v>45663</v>
      </c>
      <c r="D605" s="8"/>
      <c r="E605" s="8"/>
    </row>
    <row r="606" spans="1:5" x14ac:dyDescent="0.25">
      <c r="A606" s="1" t="s">
        <v>596</v>
      </c>
      <c r="B606" s="8">
        <v>46235</v>
      </c>
      <c r="C606" s="8">
        <v>46125</v>
      </c>
      <c r="D606" s="8">
        <v>45883</v>
      </c>
      <c r="E606" s="8">
        <v>45693</v>
      </c>
    </row>
    <row r="607" spans="1:5" x14ac:dyDescent="0.25">
      <c r="A607" s="1" t="s">
        <v>598</v>
      </c>
      <c r="B607" s="8">
        <v>45862</v>
      </c>
      <c r="C607" s="8">
        <v>45694</v>
      </c>
      <c r="D607" s="8"/>
      <c r="E607" s="8"/>
    </row>
    <row r="608" spans="1:5" x14ac:dyDescent="0.25">
      <c r="A608" s="1" t="s">
        <v>597</v>
      </c>
      <c r="B608" s="8">
        <v>46234</v>
      </c>
      <c r="C608" s="8">
        <v>46158</v>
      </c>
      <c r="D608" s="8">
        <v>46093</v>
      </c>
      <c r="E608" s="8">
        <v>45985</v>
      </c>
    </row>
    <row r="609" spans="1:5" x14ac:dyDescent="0.25">
      <c r="A609" s="1" t="s">
        <v>599</v>
      </c>
      <c r="B609" s="8"/>
      <c r="C609" s="8"/>
      <c r="D609" s="8"/>
      <c r="E609" s="8"/>
    </row>
    <row r="610" spans="1:5" x14ac:dyDescent="0.25">
      <c r="A610" s="1" t="s">
        <v>600</v>
      </c>
      <c r="B610" s="8">
        <v>46240</v>
      </c>
      <c r="C610" s="8">
        <v>46080</v>
      </c>
      <c r="D610" s="8">
        <v>45911</v>
      </c>
      <c r="E610" s="8">
        <v>45701</v>
      </c>
    </row>
    <row r="611" spans="1:5" x14ac:dyDescent="0.25">
      <c r="A611" s="1" t="s">
        <v>601</v>
      </c>
      <c r="B611" s="8">
        <v>46240</v>
      </c>
      <c r="C611" s="8">
        <v>46079</v>
      </c>
      <c r="D611" s="8">
        <v>45911</v>
      </c>
      <c r="E611" s="8">
        <v>45700</v>
      </c>
    </row>
    <row r="612" spans="1:5" x14ac:dyDescent="0.25">
      <c r="A612" s="1" t="s">
        <v>602</v>
      </c>
      <c r="B612" s="8">
        <v>46304</v>
      </c>
      <c r="C612" s="8">
        <v>46069</v>
      </c>
      <c r="D612" s="8">
        <v>45956</v>
      </c>
      <c r="E612" s="8">
        <v>45762</v>
      </c>
    </row>
    <row r="613" spans="1:5" x14ac:dyDescent="0.25">
      <c r="A613" s="1" t="s">
        <v>603</v>
      </c>
      <c r="B613" s="8">
        <v>45922</v>
      </c>
      <c r="C613" s="8">
        <v>45692</v>
      </c>
      <c r="D613" s="8"/>
      <c r="E613" s="8"/>
    </row>
    <row r="614" spans="1:5" x14ac:dyDescent="0.25">
      <c r="A614" s="1" t="s">
        <v>604</v>
      </c>
      <c r="B614" s="8">
        <v>46321</v>
      </c>
      <c r="C614" s="8">
        <v>46147</v>
      </c>
      <c r="D614" s="8">
        <v>45894</v>
      </c>
      <c r="E614" s="8">
        <v>45789</v>
      </c>
    </row>
    <row r="615" spans="1:5" x14ac:dyDescent="0.25">
      <c r="A615" s="1" t="s">
        <v>605</v>
      </c>
      <c r="B615" s="8">
        <v>46196</v>
      </c>
      <c r="C615" s="8">
        <v>45906</v>
      </c>
      <c r="D615" s="8">
        <v>45703</v>
      </c>
      <c r="E615" s="8"/>
    </row>
    <row r="616" spans="1:5" x14ac:dyDescent="0.25">
      <c r="A616" s="1" t="s">
        <v>606</v>
      </c>
      <c r="B616" s="8">
        <v>46203</v>
      </c>
      <c r="C616" s="8">
        <v>46060</v>
      </c>
      <c r="D616" s="8">
        <v>45892</v>
      </c>
      <c r="E616" s="8">
        <v>45673</v>
      </c>
    </row>
    <row r="617" spans="1:5" x14ac:dyDescent="0.25">
      <c r="A617" s="1" t="s">
        <v>607</v>
      </c>
      <c r="B617" s="8">
        <v>46240</v>
      </c>
      <c r="C617" s="8">
        <v>46114</v>
      </c>
      <c r="D617" s="8">
        <v>45866</v>
      </c>
      <c r="E617" s="8">
        <v>45701</v>
      </c>
    </row>
    <row r="618" spans="1:5" x14ac:dyDescent="0.25">
      <c r="A618" s="1" t="s">
        <v>608</v>
      </c>
      <c r="B618" s="8">
        <v>45818</v>
      </c>
      <c r="C618" s="8">
        <v>45691</v>
      </c>
      <c r="D618" s="8"/>
      <c r="E618" s="8"/>
    </row>
    <row r="619" spans="1:5" x14ac:dyDescent="0.25">
      <c r="A619" s="1" t="s">
        <v>611</v>
      </c>
      <c r="B619" s="8">
        <v>46036</v>
      </c>
      <c r="C619" s="8">
        <v>45947</v>
      </c>
      <c r="D619" s="8">
        <v>45840</v>
      </c>
      <c r="E619" s="8">
        <v>45678</v>
      </c>
    </row>
    <row r="620" spans="1:5" x14ac:dyDescent="0.25">
      <c r="A620" s="1" t="s">
        <v>610</v>
      </c>
      <c r="B620" s="8">
        <v>46245</v>
      </c>
      <c r="C620" s="8">
        <v>46044</v>
      </c>
      <c r="D620" s="8">
        <v>45845</v>
      </c>
      <c r="E620" s="8">
        <v>45664</v>
      </c>
    </row>
    <row r="621" spans="1:5" x14ac:dyDescent="0.25">
      <c r="A621" s="1" t="s">
        <v>609</v>
      </c>
      <c r="B621" s="8">
        <v>46188</v>
      </c>
      <c r="C621" s="8">
        <v>46036</v>
      </c>
      <c r="D621" s="8">
        <v>45840</v>
      </c>
      <c r="E621" s="8">
        <v>45678</v>
      </c>
    </row>
    <row r="622" spans="1:5" x14ac:dyDescent="0.25">
      <c r="A622" s="1" t="s">
        <v>612</v>
      </c>
      <c r="B622" s="8">
        <v>45840</v>
      </c>
      <c r="C622" s="8">
        <v>45678</v>
      </c>
      <c r="D622" s="8"/>
      <c r="E622" s="8"/>
    </row>
    <row r="623" spans="1:5" x14ac:dyDescent="0.25">
      <c r="A623" s="1" t="s">
        <v>613</v>
      </c>
      <c r="B623" s="8">
        <v>46199</v>
      </c>
      <c r="C623" s="8">
        <v>45993</v>
      </c>
      <c r="D623" s="8">
        <v>45680</v>
      </c>
      <c r="E623" s="8"/>
    </row>
    <row r="624" spans="1:5" x14ac:dyDescent="0.25">
      <c r="A624" s="1" t="s">
        <v>614</v>
      </c>
      <c r="B624" s="8">
        <v>46245</v>
      </c>
      <c r="C624" s="8">
        <v>46030</v>
      </c>
      <c r="D624" s="8">
        <v>45845</v>
      </c>
      <c r="E624" s="8">
        <v>45664</v>
      </c>
    </row>
    <row r="625" spans="1:5" x14ac:dyDescent="0.25">
      <c r="A625" s="1" t="s">
        <v>615</v>
      </c>
      <c r="B625" s="8">
        <v>46030</v>
      </c>
      <c r="C625" s="8">
        <v>45831</v>
      </c>
      <c r="D625" s="8">
        <v>45664</v>
      </c>
      <c r="E625" s="8"/>
    </row>
    <row r="626" spans="1:5" x14ac:dyDescent="0.25">
      <c r="A626" s="1" t="s">
        <v>616</v>
      </c>
      <c r="B626" s="8">
        <v>45841</v>
      </c>
      <c r="C626" s="8">
        <v>45660</v>
      </c>
      <c r="D626" s="8"/>
      <c r="E626" s="8"/>
    </row>
    <row r="627" spans="1:5" x14ac:dyDescent="0.25">
      <c r="A627" s="1" t="s">
        <v>617</v>
      </c>
      <c r="B627" s="8">
        <v>45792</v>
      </c>
      <c r="C627" s="8">
        <v>45632</v>
      </c>
      <c r="D627" s="8"/>
      <c r="E627" s="8"/>
    </row>
    <row r="628" spans="1:5" x14ac:dyDescent="0.25">
      <c r="A628" s="1" t="s">
        <v>618</v>
      </c>
      <c r="B628" s="8">
        <v>46239</v>
      </c>
      <c r="C628" s="8">
        <v>45861</v>
      </c>
      <c r="D628" s="8">
        <v>45861</v>
      </c>
      <c r="E628" s="8">
        <v>45661</v>
      </c>
    </row>
    <row r="629" spans="1:5" x14ac:dyDescent="0.25">
      <c r="A629" s="1" t="s">
        <v>619</v>
      </c>
      <c r="B629" s="8">
        <v>45835</v>
      </c>
      <c r="C629" s="8">
        <v>45687</v>
      </c>
      <c r="D629" s="8"/>
      <c r="E629" s="8"/>
    </row>
    <row r="630" spans="1:5" x14ac:dyDescent="0.25">
      <c r="A630" s="1" t="s">
        <v>620</v>
      </c>
      <c r="B630" s="8">
        <v>46230</v>
      </c>
      <c r="C630" s="8">
        <v>45954</v>
      </c>
      <c r="D630" s="8">
        <v>45694</v>
      </c>
      <c r="E630" s="8"/>
    </row>
    <row r="631" spans="1:5" x14ac:dyDescent="0.25">
      <c r="A631" s="1" t="s">
        <v>621</v>
      </c>
      <c r="B631" s="8">
        <v>46030</v>
      </c>
      <c r="C631" s="8">
        <v>45826</v>
      </c>
      <c r="D631" s="8">
        <v>45664</v>
      </c>
      <c r="E631" s="8"/>
    </row>
    <row r="632" spans="1:5" x14ac:dyDescent="0.25">
      <c r="A632" s="1" t="s">
        <v>622</v>
      </c>
      <c r="B632" s="8">
        <v>46185</v>
      </c>
      <c r="C632" s="8">
        <v>46088</v>
      </c>
      <c r="D632" s="8">
        <v>45875</v>
      </c>
      <c r="E632" s="8">
        <v>45641</v>
      </c>
    </row>
    <row r="633" spans="1:5" x14ac:dyDescent="0.25">
      <c r="A633" s="1" t="s">
        <v>623</v>
      </c>
      <c r="B633" s="8">
        <v>46184</v>
      </c>
      <c r="C633" s="8">
        <v>46088</v>
      </c>
      <c r="D633" s="8">
        <v>45875</v>
      </c>
      <c r="E633" s="8">
        <v>45641</v>
      </c>
    </row>
    <row r="634" spans="1:5" x14ac:dyDescent="0.25">
      <c r="A634" s="1" t="s">
        <v>624</v>
      </c>
      <c r="B634" s="8">
        <v>46177</v>
      </c>
      <c r="C634" s="8">
        <v>46136</v>
      </c>
      <c r="D634" s="8">
        <v>46009</v>
      </c>
      <c r="E634" s="8">
        <v>45938</v>
      </c>
    </row>
    <row r="635" spans="1:5" x14ac:dyDescent="0.25">
      <c r="A635" s="1" t="s">
        <v>625</v>
      </c>
      <c r="B635" s="8">
        <v>45826</v>
      </c>
      <c r="C635" s="8">
        <v>45665</v>
      </c>
      <c r="D635" s="8"/>
      <c r="E635" s="8"/>
    </row>
    <row r="636" spans="1:5" x14ac:dyDescent="0.25">
      <c r="A636" s="1" t="s">
        <v>627</v>
      </c>
      <c r="B636" s="8">
        <v>46204</v>
      </c>
      <c r="C636" s="8">
        <v>45806</v>
      </c>
      <c r="D636" s="8"/>
      <c r="E636" s="8"/>
    </row>
    <row r="637" spans="1:5" x14ac:dyDescent="0.25">
      <c r="A637" s="1" t="s">
        <v>626</v>
      </c>
      <c r="B637" s="8">
        <v>46224</v>
      </c>
      <c r="C637" s="8">
        <v>46038</v>
      </c>
      <c r="D637" s="8">
        <v>45852</v>
      </c>
      <c r="E637" s="8">
        <v>45650</v>
      </c>
    </row>
    <row r="638" spans="1:5" x14ac:dyDescent="0.25">
      <c r="A638" s="1" t="s">
        <v>629</v>
      </c>
      <c r="B638" s="8">
        <v>46247</v>
      </c>
      <c r="C638" s="8">
        <v>46059</v>
      </c>
      <c r="D638" s="8">
        <v>45848</v>
      </c>
      <c r="E638" s="8">
        <v>45709</v>
      </c>
    </row>
    <row r="639" spans="1:5" x14ac:dyDescent="0.25">
      <c r="A639" s="1" t="s">
        <v>628</v>
      </c>
      <c r="B639" s="8">
        <v>46030</v>
      </c>
      <c r="C639" s="8">
        <v>45826</v>
      </c>
      <c r="D639" s="8">
        <v>45664</v>
      </c>
      <c r="E639" s="8"/>
    </row>
    <row r="640" spans="1:5" x14ac:dyDescent="0.25">
      <c r="A640" s="1" t="s">
        <v>631</v>
      </c>
      <c r="B640" s="8">
        <v>46191</v>
      </c>
      <c r="C640" s="8">
        <v>46006</v>
      </c>
      <c r="D640" s="8">
        <v>45839</v>
      </c>
      <c r="E640" s="8">
        <v>45663</v>
      </c>
    </row>
    <row r="641" spans="1:5" x14ac:dyDescent="0.25">
      <c r="A641" s="1" t="s">
        <v>630</v>
      </c>
      <c r="B641" s="8">
        <v>46212</v>
      </c>
      <c r="C641" s="8">
        <v>46032</v>
      </c>
      <c r="D641" s="8">
        <v>45846</v>
      </c>
      <c r="E641" s="8">
        <v>45706</v>
      </c>
    </row>
    <row r="642" spans="1:5" x14ac:dyDescent="0.25">
      <c r="A642" s="1" t="s">
        <v>632</v>
      </c>
      <c r="B642" s="8">
        <v>46191</v>
      </c>
      <c r="C642" s="8">
        <v>46006</v>
      </c>
      <c r="D642" s="8">
        <v>45839</v>
      </c>
      <c r="E642" s="8">
        <v>45663</v>
      </c>
    </row>
    <row r="643" spans="1:5" x14ac:dyDescent="0.25">
      <c r="A643" s="1" t="s">
        <v>634</v>
      </c>
      <c r="B643" s="8">
        <v>45793</v>
      </c>
      <c r="C643" s="8">
        <v>45656</v>
      </c>
      <c r="D643" s="8"/>
      <c r="E643" s="8"/>
    </row>
    <row r="644" spans="1:5" x14ac:dyDescent="0.25">
      <c r="A644" s="1" t="s">
        <v>633</v>
      </c>
      <c r="B644" s="8">
        <v>45793</v>
      </c>
      <c r="C644" s="8">
        <v>45656</v>
      </c>
      <c r="D644" s="8"/>
      <c r="E644" s="8"/>
    </row>
    <row r="645" spans="1:5" x14ac:dyDescent="0.25">
      <c r="A645" s="1" t="s">
        <v>635</v>
      </c>
      <c r="B645" s="8">
        <v>46157</v>
      </c>
      <c r="C645" s="8">
        <v>45909</v>
      </c>
      <c r="D645" s="8">
        <v>45666</v>
      </c>
      <c r="E645" s="8"/>
    </row>
    <row r="646" spans="1:5" x14ac:dyDescent="0.25">
      <c r="A646" s="1" t="s">
        <v>637</v>
      </c>
      <c r="B646" s="8">
        <v>46000</v>
      </c>
      <c r="C646" s="8">
        <v>45805</v>
      </c>
      <c r="D646" s="8">
        <v>45672</v>
      </c>
      <c r="E646" s="8"/>
    </row>
    <row r="647" spans="1:5" x14ac:dyDescent="0.25">
      <c r="A647" s="1" t="s">
        <v>636</v>
      </c>
      <c r="B647" s="8">
        <v>46149</v>
      </c>
      <c r="C647" s="8">
        <v>46053</v>
      </c>
      <c r="D647" s="8">
        <v>45805</v>
      </c>
      <c r="E647" s="8">
        <v>45702</v>
      </c>
    </row>
    <row r="648" spans="1:5" x14ac:dyDescent="0.25">
      <c r="A648" s="1" t="s">
        <v>638</v>
      </c>
      <c r="B648" s="8">
        <v>45792</v>
      </c>
      <c r="C648" s="8">
        <v>45632</v>
      </c>
      <c r="D648" s="8"/>
      <c r="E648" s="8"/>
    </row>
    <row r="649" spans="1:5" x14ac:dyDescent="0.25">
      <c r="A649" s="1" t="s">
        <v>639</v>
      </c>
      <c r="B649" s="8">
        <v>45798</v>
      </c>
      <c r="C649" s="8">
        <v>45618</v>
      </c>
      <c r="D649" s="8">
        <v>45500</v>
      </c>
      <c r="E649" s="8"/>
    </row>
    <row r="650" spans="1:5" x14ac:dyDescent="0.25">
      <c r="A650" s="1" t="s">
        <v>640</v>
      </c>
      <c r="B650" s="8">
        <v>46181</v>
      </c>
      <c r="C650" s="8">
        <v>46009</v>
      </c>
      <c r="D650" s="8">
        <v>45938</v>
      </c>
      <c r="E650" s="8">
        <v>45829</v>
      </c>
    </row>
    <row r="651" spans="1:5" x14ac:dyDescent="0.25">
      <c r="A651" s="1" t="s">
        <v>641</v>
      </c>
      <c r="B651" s="8">
        <v>46171</v>
      </c>
      <c r="C651" s="8">
        <v>46007</v>
      </c>
      <c r="D651" s="8">
        <v>45924</v>
      </c>
      <c r="E651" s="8">
        <v>45812</v>
      </c>
    </row>
    <row r="652" spans="1:5" x14ac:dyDescent="0.25">
      <c r="A652" s="1" t="s">
        <v>643</v>
      </c>
      <c r="B652" s="8">
        <v>46270</v>
      </c>
      <c r="C652" s="8">
        <v>46219</v>
      </c>
      <c r="D652" s="8">
        <v>46020</v>
      </c>
      <c r="E652" s="8">
        <v>45814</v>
      </c>
    </row>
    <row r="653" spans="1:5" x14ac:dyDescent="0.25">
      <c r="A653" s="1" t="s">
        <v>642</v>
      </c>
      <c r="B653" s="8">
        <v>46202</v>
      </c>
      <c r="C653" s="8">
        <v>46020</v>
      </c>
      <c r="D653" s="8">
        <v>45814</v>
      </c>
      <c r="E653" s="8">
        <v>45642</v>
      </c>
    </row>
    <row r="654" spans="1:5" x14ac:dyDescent="0.25">
      <c r="A654" s="1" t="s">
        <v>644</v>
      </c>
      <c r="B654" s="8">
        <v>46213</v>
      </c>
      <c r="C654" s="8">
        <v>45983</v>
      </c>
      <c r="D654" s="8">
        <v>45855</v>
      </c>
      <c r="E654" s="8">
        <v>45686</v>
      </c>
    </row>
    <row r="655" spans="1:5" x14ac:dyDescent="0.25">
      <c r="A655" s="1" t="s">
        <v>645</v>
      </c>
      <c r="B655" s="8">
        <v>46144</v>
      </c>
      <c r="C655" s="8">
        <v>45925</v>
      </c>
      <c r="D655" s="8">
        <v>45703</v>
      </c>
      <c r="E655" s="8"/>
    </row>
    <row r="656" spans="1:5" x14ac:dyDescent="0.25">
      <c r="A656" s="1" t="s">
        <v>646</v>
      </c>
      <c r="B656" s="8"/>
      <c r="C656" s="8"/>
      <c r="D656" s="8"/>
      <c r="E656" s="8"/>
    </row>
    <row r="657" spans="1:5" x14ac:dyDescent="0.25">
      <c r="A657" s="1" t="s">
        <v>647</v>
      </c>
      <c r="B657" s="8">
        <v>45792</v>
      </c>
      <c r="C657" s="8">
        <v>45609</v>
      </c>
      <c r="D657" s="8"/>
      <c r="E657" s="8"/>
    </row>
    <row r="658" spans="1:5" x14ac:dyDescent="0.25">
      <c r="A658" s="1" t="s">
        <v>648</v>
      </c>
      <c r="B658" s="8">
        <v>45832</v>
      </c>
      <c r="C658" s="8">
        <v>45677</v>
      </c>
      <c r="D658" s="8"/>
      <c r="E658" s="8"/>
    </row>
    <row r="659" spans="1:5" x14ac:dyDescent="0.25">
      <c r="A659" s="1" t="s">
        <v>650</v>
      </c>
      <c r="B659" s="8">
        <v>46189</v>
      </c>
      <c r="C659" s="8">
        <v>45987</v>
      </c>
      <c r="D659" s="8">
        <v>45808</v>
      </c>
      <c r="E659" s="8">
        <v>45667</v>
      </c>
    </row>
    <row r="660" spans="1:5" x14ac:dyDescent="0.25">
      <c r="A660" s="1" t="s">
        <v>649</v>
      </c>
      <c r="B660" s="8">
        <v>45871</v>
      </c>
      <c r="C660" s="8">
        <v>45510</v>
      </c>
      <c r="D660" s="8"/>
      <c r="E660" s="8"/>
    </row>
    <row r="661" spans="1:5" x14ac:dyDescent="0.25">
      <c r="A661" s="1" t="s">
        <v>651</v>
      </c>
      <c r="B661" s="8">
        <v>45842</v>
      </c>
      <c r="C661" s="8">
        <v>45652</v>
      </c>
      <c r="D661" s="8"/>
      <c r="E661" s="8"/>
    </row>
    <row r="662" spans="1:5" x14ac:dyDescent="0.25">
      <c r="A662" s="1" t="s">
        <v>652</v>
      </c>
      <c r="B662" s="8">
        <v>45790</v>
      </c>
      <c r="C662" s="8">
        <v>45623</v>
      </c>
      <c r="D662" s="8"/>
      <c r="E662" s="8"/>
    </row>
    <row r="663" spans="1:5" x14ac:dyDescent="0.25">
      <c r="A663" s="1" t="s">
        <v>653</v>
      </c>
      <c r="B663" s="8">
        <v>45808</v>
      </c>
      <c r="C663" s="8">
        <v>45663</v>
      </c>
      <c r="D663" s="8"/>
      <c r="E663" s="8"/>
    </row>
    <row r="664" spans="1:5" x14ac:dyDescent="0.25">
      <c r="A664" s="1" t="s">
        <v>655</v>
      </c>
      <c r="B664" s="8">
        <v>46149</v>
      </c>
      <c r="C664" s="8">
        <v>45986</v>
      </c>
      <c r="D664" s="8">
        <v>45791</v>
      </c>
      <c r="E664" s="8">
        <v>45588</v>
      </c>
    </row>
    <row r="665" spans="1:5" x14ac:dyDescent="0.25">
      <c r="A665" s="1" t="s">
        <v>654</v>
      </c>
      <c r="B665" s="8">
        <v>46263</v>
      </c>
      <c r="C665" s="8">
        <v>46160</v>
      </c>
      <c r="D665" s="8">
        <v>46036</v>
      </c>
      <c r="E665" s="8">
        <v>45819</v>
      </c>
    </row>
    <row r="666" spans="1:5" x14ac:dyDescent="0.25">
      <c r="A666" s="1" t="s">
        <v>656</v>
      </c>
      <c r="B666" s="8">
        <v>46324</v>
      </c>
      <c r="C666" s="8">
        <v>46156</v>
      </c>
      <c r="D666" s="8">
        <v>45922</v>
      </c>
      <c r="E666" s="8">
        <v>45834</v>
      </c>
    </row>
    <row r="667" spans="1:5" x14ac:dyDescent="0.25">
      <c r="A667" s="1" t="s">
        <v>657</v>
      </c>
      <c r="B667" s="8">
        <v>46307</v>
      </c>
      <c r="C667" s="8">
        <v>46153</v>
      </c>
      <c r="D667" s="8">
        <v>46002</v>
      </c>
      <c r="E667" s="8">
        <v>45793</v>
      </c>
    </row>
    <row r="668" spans="1:5" x14ac:dyDescent="0.25">
      <c r="A668" s="1" t="s">
        <v>658</v>
      </c>
      <c r="B668" s="8">
        <v>45824</v>
      </c>
      <c r="C668" s="8">
        <v>45646</v>
      </c>
      <c r="D668" s="8"/>
      <c r="E668" s="8"/>
    </row>
    <row r="669" spans="1:5" x14ac:dyDescent="0.25">
      <c r="A669" s="1" t="s">
        <v>659</v>
      </c>
      <c r="B669" s="8">
        <v>45798</v>
      </c>
      <c r="C669" s="8">
        <v>45604</v>
      </c>
      <c r="D669" s="8">
        <v>45443</v>
      </c>
      <c r="E669" s="8"/>
    </row>
    <row r="670" spans="1:5" x14ac:dyDescent="0.25">
      <c r="A670" s="1" t="s">
        <v>660</v>
      </c>
      <c r="B670" s="8">
        <v>46185</v>
      </c>
      <c r="C670" s="8">
        <v>45867</v>
      </c>
      <c r="D670" s="8">
        <v>45637</v>
      </c>
      <c r="E670" s="8"/>
    </row>
    <row r="671" spans="1:5" x14ac:dyDescent="0.25">
      <c r="A671" s="1" t="s">
        <v>661</v>
      </c>
      <c r="B671" s="8">
        <v>46309</v>
      </c>
      <c r="C671" s="8">
        <v>46116</v>
      </c>
      <c r="D671" s="8">
        <v>45939</v>
      </c>
      <c r="E671" s="8">
        <v>45798</v>
      </c>
    </row>
    <row r="672" spans="1:5" x14ac:dyDescent="0.25">
      <c r="A672" s="1" t="s">
        <v>662</v>
      </c>
      <c r="B672" s="8">
        <v>46147</v>
      </c>
      <c r="C672" s="8">
        <v>45979</v>
      </c>
      <c r="D672" s="8">
        <v>45804</v>
      </c>
      <c r="E672" s="8">
        <v>45642</v>
      </c>
    </row>
    <row r="673" spans="1:5" x14ac:dyDescent="0.25">
      <c r="A673" s="1" t="s">
        <v>663</v>
      </c>
      <c r="B673" s="8">
        <v>46259</v>
      </c>
      <c r="C673" s="8">
        <v>45783</v>
      </c>
      <c r="D673" s="8">
        <v>45603</v>
      </c>
      <c r="E673" s="8"/>
    </row>
    <row r="674" spans="1:5" x14ac:dyDescent="0.25">
      <c r="A674" s="1" t="s">
        <v>664</v>
      </c>
      <c r="B674" s="8">
        <v>46148</v>
      </c>
      <c r="C674" s="8">
        <v>45946</v>
      </c>
      <c r="D674" s="8">
        <v>45812</v>
      </c>
      <c r="E674" s="8">
        <v>45635</v>
      </c>
    </row>
    <row r="675" spans="1:5" x14ac:dyDescent="0.25">
      <c r="A675" s="1" t="s">
        <v>665</v>
      </c>
      <c r="B675" s="8">
        <v>46325</v>
      </c>
      <c r="C675" s="8">
        <v>46125</v>
      </c>
      <c r="D675" s="8">
        <v>45960</v>
      </c>
      <c r="E675" s="8">
        <v>45801</v>
      </c>
    </row>
    <row r="676" spans="1:5" x14ac:dyDescent="0.25">
      <c r="A676" s="1" t="s">
        <v>666</v>
      </c>
      <c r="B676" s="8">
        <v>46324</v>
      </c>
      <c r="C676" s="8">
        <v>46126</v>
      </c>
      <c r="D676" s="8">
        <v>45960</v>
      </c>
      <c r="E676" s="8">
        <v>45812</v>
      </c>
    </row>
    <row r="677" spans="1:5" x14ac:dyDescent="0.25">
      <c r="A677" s="1" t="s">
        <v>667</v>
      </c>
      <c r="B677" s="8">
        <v>45790</v>
      </c>
      <c r="C677" s="8">
        <v>45611</v>
      </c>
      <c r="D677" s="8"/>
      <c r="E677" s="8"/>
    </row>
    <row r="678" spans="1:5" x14ac:dyDescent="0.25">
      <c r="A678" s="1" t="s">
        <v>668</v>
      </c>
      <c r="B678" s="8">
        <v>45790</v>
      </c>
      <c r="C678" s="8">
        <v>45611</v>
      </c>
      <c r="D678" s="8"/>
      <c r="E678" s="8"/>
    </row>
    <row r="679" spans="1:5" x14ac:dyDescent="0.25">
      <c r="A679" s="1" t="s">
        <v>669</v>
      </c>
      <c r="B679" s="8">
        <v>45749</v>
      </c>
      <c r="C679" s="8">
        <v>45584</v>
      </c>
      <c r="D679" s="8"/>
      <c r="E679" s="8"/>
    </row>
    <row r="680" spans="1:5" x14ac:dyDescent="0.25">
      <c r="A680" s="1" t="s">
        <v>670</v>
      </c>
      <c r="B680" s="8">
        <v>45773</v>
      </c>
      <c r="C680" s="8">
        <v>45514</v>
      </c>
      <c r="D680" s="8"/>
      <c r="E680" s="8"/>
    </row>
    <row r="681" spans="1:5" x14ac:dyDescent="0.25">
      <c r="A681" s="1" t="s">
        <v>671</v>
      </c>
      <c r="B681" s="8">
        <v>45913</v>
      </c>
      <c r="C681" s="8">
        <v>45665</v>
      </c>
      <c r="D681" s="8"/>
      <c r="E681" s="8"/>
    </row>
    <row r="682" spans="1:5" x14ac:dyDescent="0.25">
      <c r="A682" s="1" t="s">
        <v>677</v>
      </c>
      <c r="B682" s="8">
        <v>46118</v>
      </c>
      <c r="C682" s="8">
        <v>45936</v>
      </c>
      <c r="D682" s="8">
        <v>45757</v>
      </c>
      <c r="E682" s="8">
        <v>45582</v>
      </c>
    </row>
    <row r="683" spans="1:5" x14ac:dyDescent="0.25">
      <c r="A683" s="1" t="s">
        <v>674</v>
      </c>
      <c r="B683" s="8">
        <v>46125</v>
      </c>
      <c r="C683" s="8">
        <v>45936</v>
      </c>
      <c r="D683" s="8">
        <v>45757</v>
      </c>
      <c r="E683" s="8">
        <v>45583</v>
      </c>
    </row>
    <row r="684" spans="1:5" x14ac:dyDescent="0.25">
      <c r="A684" s="1" t="s">
        <v>676</v>
      </c>
      <c r="B684" s="8">
        <v>46125</v>
      </c>
      <c r="C684" s="8">
        <v>45936</v>
      </c>
      <c r="D684" s="8">
        <v>45768</v>
      </c>
      <c r="E684" s="8">
        <v>45583</v>
      </c>
    </row>
    <row r="685" spans="1:5" x14ac:dyDescent="0.25">
      <c r="A685" s="1" t="s">
        <v>675</v>
      </c>
      <c r="B685" s="8">
        <v>46125</v>
      </c>
      <c r="C685" s="8">
        <v>45936</v>
      </c>
      <c r="D685" s="8">
        <v>45763</v>
      </c>
      <c r="E685" s="8">
        <v>45583</v>
      </c>
    </row>
    <row r="686" spans="1:5" x14ac:dyDescent="0.25">
      <c r="A686" s="1" t="s">
        <v>673</v>
      </c>
      <c r="B686" s="8">
        <v>46316</v>
      </c>
      <c r="C686" s="8">
        <v>46125</v>
      </c>
      <c r="D686" s="8">
        <v>45883</v>
      </c>
      <c r="E686" s="8">
        <v>45758</v>
      </c>
    </row>
    <row r="687" spans="1:5" x14ac:dyDescent="0.25">
      <c r="A687" s="1" t="s">
        <v>672</v>
      </c>
      <c r="B687" s="8">
        <v>45762</v>
      </c>
      <c r="C687" s="8">
        <v>45583</v>
      </c>
      <c r="D687" s="8"/>
      <c r="E687" s="8"/>
    </row>
    <row r="688" spans="1:5" x14ac:dyDescent="0.25">
      <c r="A688" s="1" t="s">
        <v>678</v>
      </c>
      <c r="B688" s="8">
        <v>46202</v>
      </c>
      <c r="C688" s="8">
        <v>45937</v>
      </c>
      <c r="D688" s="8">
        <v>45706</v>
      </c>
      <c r="E688" s="8">
        <v>45565</v>
      </c>
    </row>
    <row r="689" spans="1:5" x14ac:dyDescent="0.25">
      <c r="A689" s="1" t="s">
        <v>679</v>
      </c>
      <c r="B689" s="8">
        <v>46178</v>
      </c>
      <c r="C689" s="8">
        <v>46010</v>
      </c>
      <c r="D689" s="8">
        <v>45805</v>
      </c>
      <c r="E689" s="8">
        <v>45574</v>
      </c>
    </row>
    <row r="690" spans="1:5" x14ac:dyDescent="0.25">
      <c r="A690" s="1" t="s">
        <v>680</v>
      </c>
      <c r="B690" s="8">
        <v>45749</v>
      </c>
      <c r="C690" s="8">
        <v>45555</v>
      </c>
      <c r="D690" s="8"/>
      <c r="E690" s="8"/>
    </row>
    <row r="691" spans="1:5" x14ac:dyDescent="0.25">
      <c r="A691" s="1" t="s">
        <v>681</v>
      </c>
      <c r="B691" s="8">
        <v>46270</v>
      </c>
      <c r="C691" s="8">
        <v>45983</v>
      </c>
      <c r="D691" s="8">
        <v>45799</v>
      </c>
      <c r="E691" s="8">
        <v>45568</v>
      </c>
    </row>
    <row r="692" spans="1:5" x14ac:dyDescent="0.25">
      <c r="A692" s="1" t="s">
        <v>682</v>
      </c>
      <c r="B692" s="8">
        <v>46270</v>
      </c>
      <c r="C692" s="8">
        <v>45985</v>
      </c>
      <c r="D692" s="8">
        <v>45799</v>
      </c>
      <c r="E692" s="8">
        <v>45568</v>
      </c>
    </row>
    <row r="693" spans="1:5" x14ac:dyDescent="0.25">
      <c r="A693" s="1" t="s">
        <v>683</v>
      </c>
      <c r="B693" s="8">
        <v>46118</v>
      </c>
      <c r="C693" s="8">
        <v>45938</v>
      </c>
      <c r="D693" s="8">
        <v>45756</v>
      </c>
      <c r="E693" s="8">
        <v>45583</v>
      </c>
    </row>
    <row r="694" spans="1:5" x14ac:dyDescent="0.25">
      <c r="A694" s="1" t="s">
        <v>684</v>
      </c>
      <c r="B694" s="8">
        <v>45749</v>
      </c>
      <c r="C694" s="8">
        <v>45584</v>
      </c>
      <c r="D694" s="8"/>
      <c r="E694" s="8"/>
    </row>
    <row r="695" spans="1:5" x14ac:dyDescent="0.25">
      <c r="A695" s="1" t="s">
        <v>689</v>
      </c>
      <c r="B695" s="8">
        <v>45733</v>
      </c>
      <c r="C695" s="8">
        <v>45588</v>
      </c>
      <c r="D695" s="8"/>
      <c r="E695" s="8"/>
    </row>
    <row r="696" spans="1:5" x14ac:dyDescent="0.25">
      <c r="A696" s="1" t="s">
        <v>685</v>
      </c>
      <c r="B696" s="8">
        <v>45892</v>
      </c>
      <c r="C696" s="8">
        <v>45583</v>
      </c>
      <c r="D696" s="8"/>
      <c r="E696" s="8"/>
    </row>
    <row r="697" spans="1:5" x14ac:dyDescent="0.25">
      <c r="A697" s="1" t="s">
        <v>687</v>
      </c>
      <c r="B697" s="8">
        <v>45714</v>
      </c>
      <c r="C697" s="8"/>
      <c r="D697" s="8"/>
      <c r="E697" s="8"/>
    </row>
    <row r="698" spans="1:5" x14ac:dyDescent="0.25">
      <c r="A698" s="1" t="s">
        <v>686</v>
      </c>
      <c r="B698" s="8">
        <v>45715</v>
      </c>
      <c r="C698" s="8">
        <v>45545</v>
      </c>
      <c r="D698" s="8"/>
      <c r="E698" s="8"/>
    </row>
    <row r="699" spans="1:5" x14ac:dyDescent="0.25">
      <c r="A699" s="1" t="s">
        <v>690</v>
      </c>
      <c r="B699" s="8">
        <v>46154</v>
      </c>
      <c r="C699" s="8">
        <v>45836</v>
      </c>
      <c r="D699" s="8">
        <v>45790</v>
      </c>
      <c r="E699" s="8"/>
    </row>
    <row r="700" spans="1:5" x14ac:dyDescent="0.25">
      <c r="A700" s="1" t="s">
        <v>688</v>
      </c>
      <c r="B700" s="8">
        <v>45775</v>
      </c>
      <c r="C700" s="8">
        <v>45614</v>
      </c>
      <c r="D700" s="8"/>
      <c r="E700" s="8"/>
    </row>
    <row r="701" spans="1:5" x14ac:dyDescent="0.25">
      <c r="A701" s="1" t="s">
        <v>691</v>
      </c>
      <c r="B701" s="8"/>
      <c r="C701" s="8"/>
      <c r="D701" s="8"/>
      <c r="E701" s="8"/>
    </row>
    <row r="702" spans="1:5" x14ac:dyDescent="0.25">
      <c r="A702" s="1" t="s">
        <v>692</v>
      </c>
      <c r="B702" s="8">
        <v>46074</v>
      </c>
      <c r="C702" s="8">
        <v>45972</v>
      </c>
      <c r="D702" s="8">
        <v>45776</v>
      </c>
      <c r="E702" s="8">
        <v>45582</v>
      </c>
    </row>
    <row r="703" spans="1:5" x14ac:dyDescent="0.25">
      <c r="A703" s="1" t="s">
        <v>693</v>
      </c>
      <c r="B703" s="8">
        <v>45624</v>
      </c>
      <c r="C703" s="8"/>
      <c r="D703" s="8"/>
      <c r="E703" s="8"/>
    </row>
    <row r="704" spans="1:5" x14ac:dyDescent="0.25">
      <c r="A704" s="1" t="s">
        <v>694</v>
      </c>
      <c r="B704" s="8">
        <v>45747</v>
      </c>
      <c r="C704" s="8">
        <v>45552</v>
      </c>
      <c r="D704" s="8"/>
      <c r="E704" s="8"/>
    </row>
    <row r="705" spans="1:5" x14ac:dyDescent="0.25">
      <c r="A705" s="1" t="s">
        <v>695</v>
      </c>
      <c r="B705" s="8">
        <v>46199</v>
      </c>
      <c r="C705" s="8">
        <v>46003</v>
      </c>
      <c r="D705" s="8">
        <v>45832</v>
      </c>
      <c r="E705" s="8">
        <v>45744</v>
      </c>
    </row>
    <row r="706" spans="1:5" x14ac:dyDescent="0.25">
      <c r="A706" s="1" t="s">
        <v>696</v>
      </c>
      <c r="B706" s="8">
        <v>46282</v>
      </c>
      <c r="C706" s="8">
        <v>46099</v>
      </c>
      <c r="D706" s="8">
        <v>45908</v>
      </c>
      <c r="E706" s="8">
        <v>45742</v>
      </c>
    </row>
    <row r="707" spans="1:5" x14ac:dyDescent="0.25">
      <c r="A707" s="1" t="s">
        <v>697</v>
      </c>
      <c r="B707" s="8">
        <v>46296</v>
      </c>
      <c r="C707" s="8">
        <v>46060</v>
      </c>
      <c r="D707" s="8">
        <v>45962</v>
      </c>
      <c r="E707" s="8">
        <v>45738</v>
      </c>
    </row>
    <row r="708" spans="1:5" x14ac:dyDescent="0.25">
      <c r="A708" s="1" t="s">
        <v>699</v>
      </c>
      <c r="B708" s="8">
        <v>46199</v>
      </c>
      <c r="C708" s="8">
        <v>45993</v>
      </c>
      <c r="D708" s="8">
        <v>45835</v>
      </c>
      <c r="E708" s="8">
        <v>45738</v>
      </c>
    </row>
    <row r="709" spans="1:5" x14ac:dyDescent="0.25">
      <c r="A709" s="1" t="s">
        <v>698</v>
      </c>
      <c r="B709" s="8">
        <v>46266</v>
      </c>
      <c r="C709" s="8">
        <v>46098</v>
      </c>
      <c r="D709" s="8">
        <v>45877</v>
      </c>
      <c r="E709" s="8">
        <v>45731</v>
      </c>
    </row>
    <row r="710" spans="1:5" x14ac:dyDescent="0.25">
      <c r="A710" s="1" t="s">
        <v>700</v>
      </c>
      <c r="B710" s="8">
        <v>46228</v>
      </c>
      <c r="C710" s="8">
        <v>46087</v>
      </c>
      <c r="D710" s="8">
        <v>45999</v>
      </c>
      <c r="E710" s="8">
        <v>45749</v>
      </c>
    </row>
    <row r="711" spans="1:5" x14ac:dyDescent="0.25">
      <c r="A711" s="1" t="s">
        <v>701</v>
      </c>
      <c r="B711" s="8">
        <v>46268</v>
      </c>
      <c r="C711" s="8">
        <v>46177</v>
      </c>
      <c r="D711" s="8">
        <v>46030</v>
      </c>
      <c r="E711" s="8">
        <v>45744</v>
      </c>
    </row>
    <row r="712" spans="1:5" x14ac:dyDescent="0.25">
      <c r="A712" s="1" t="s">
        <v>702</v>
      </c>
      <c r="B712" s="8">
        <v>45762</v>
      </c>
      <c r="C712" s="8"/>
      <c r="D712" s="8"/>
      <c r="E712" s="8"/>
    </row>
    <row r="713" spans="1:5" x14ac:dyDescent="0.25">
      <c r="A713" s="1" t="s">
        <v>704</v>
      </c>
      <c r="B713" s="8">
        <v>45769</v>
      </c>
      <c r="C713" s="8"/>
      <c r="D713" s="8"/>
      <c r="E713" s="8"/>
    </row>
    <row r="714" spans="1:5" x14ac:dyDescent="0.25">
      <c r="A714" s="1" t="s">
        <v>703</v>
      </c>
      <c r="B714" s="8">
        <v>45944</v>
      </c>
      <c r="C714" s="8">
        <v>45785</v>
      </c>
      <c r="D714" s="8">
        <v>45584</v>
      </c>
      <c r="E714" s="8"/>
    </row>
    <row r="715" spans="1:5" x14ac:dyDescent="0.25">
      <c r="A715" s="1" t="s">
        <v>707</v>
      </c>
      <c r="B715" s="8">
        <v>46304</v>
      </c>
      <c r="C715" s="8">
        <v>46115</v>
      </c>
      <c r="D715" s="8">
        <v>45964</v>
      </c>
      <c r="E715" s="8">
        <v>45771</v>
      </c>
    </row>
    <row r="716" spans="1:5" x14ac:dyDescent="0.25">
      <c r="A716" s="1" t="s">
        <v>705</v>
      </c>
      <c r="B716" s="8">
        <v>45569</v>
      </c>
      <c r="C716" s="8"/>
      <c r="D716" s="8"/>
      <c r="E716" s="8"/>
    </row>
    <row r="717" spans="1:5" x14ac:dyDescent="0.25">
      <c r="A717" s="1" t="s">
        <v>706</v>
      </c>
      <c r="B717" s="8">
        <v>46270</v>
      </c>
      <c r="C717" s="8">
        <v>46074</v>
      </c>
      <c r="D717" s="8">
        <v>45904</v>
      </c>
      <c r="E717" s="8">
        <v>45722</v>
      </c>
    </row>
    <row r="718" spans="1:5" x14ac:dyDescent="0.25">
      <c r="A718" s="1" t="s">
        <v>709</v>
      </c>
      <c r="B718" s="8">
        <v>46100</v>
      </c>
      <c r="C718" s="8">
        <v>45939</v>
      </c>
      <c r="D718" s="8">
        <v>45742</v>
      </c>
      <c r="E718" s="8">
        <v>45534</v>
      </c>
    </row>
    <row r="719" spans="1:5" x14ac:dyDescent="0.25">
      <c r="A719" s="1" t="s">
        <v>708</v>
      </c>
      <c r="B719" s="8">
        <v>46109</v>
      </c>
      <c r="C719" s="8">
        <v>45968</v>
      </c>
      <c r="D719" s="8">
        <v>45747</v>
      </c>
      <c r="E719" s="8">
        <v>45527</v>
      </c>
    </row>
    <row r="720" spans="1:5" x14ac:dyDescent="0.25">
      <c r="A720" s="1" t="s">
        <v>710</v>
      </c>
      <c r="B720" s="8">
        <v>45751</v>
      </c>
      <c r="C720" s="8">
        <v>45541</v>
      </c>
      <c r="D720" s="8"/>
      <c r="E720" s="8"/>
    </row>
    <row r="721" spans="1:5" x14ac:dyDescent="0.25">
      <c r="A721" s="1" t="s">
        <v>712</v>
      </c>
      <c r="B721" s="8">
        <v>46209</v>
      </c>
      <c r="C721" s="8">
        <v>46059</v>
      </c>
      <c r="D721" s="8">
        <v>45898</v>
      </c>
      <c r="E721" s="8">
        <v>45699</v>
      </c>
    </row>
    <row r="722" spans="1:5" x14ac:dyDescent="0.25">
      <c r="A722" s="1" t="s">
        <v>711</v>
      </c>
      <c r="B722" s="8">
        <v>46134</v>
      </c>
      <c r="C722" s="8">
        <v>46018</v>
      </c>
      <c r="D722" s="8">
        <v>45763</v>
      </c>
      <c r="E722" s="8">
        <v>45608</v>
      </c>
    </row>
    <row r="723" spans="1:5" x14ac:dyDescent="0.25">
      <c r="A723" s="1" t="s">
        <v>713</v>
      </c>
      <c r="B723" s="8">
        <v>46326</v>
      </c>
      <c r="C723" s="8">
        <v>46126</v>
      </c>
      <c r="D723" s="8">
        <v>45871</v>
      </c>
      <c r="E723" s="8">
        <v>45780</v>
      </c>
    </row>
    <row r="724" spans="1:5" x14ac:dyDescent="0.25">
      <c r="A724" s="1" t="s">
        <v>714</v>
      </c>
      <c r="B724" s="8">
        <v>46240</v>
      </c>
      <c r="C724" s="8">
        <v>46116</v>
      </c>
      <c r="D724" s="8">
        <v>45903</v>
      </c>
      <c r="E724" s="8">
        <v>45701</v>
      </c>
    </row>
    <row r="725" spans="1:5" x14ac:dyDescent="0.25">
      <c r="A725" s="1" t="s">
        <v>716</v>
      </c>
      <c r="B725" s="8">
        <v>46101</v>
      </c>
      <c r="C725" s="8">
        <v>45938</v>
      </c>
      <c r="D725" s="8">
        <v>45717</v>
      </c>
      <c r="E725" s="8">
        <v>45521</v>
      </c>
    </row>
    <row r="726" spans="1:5" x14ac:dyDescent="0.25">
      <c r="A726" s="1" t="s">
        <v>715</v>
      </c>
      <c r="B726" s="8">
        <v>46116</v>
      </c>
      <c r="C726" s="8">
        <v>45881</v>
      </c>
      <c r="D726" s="8">
        <v>45744</v>
      </c>
      <c r="E726" s="8">
        <v>45580</v>
      </c>
    </row>
    <row r="727" spans="1:5" x14ac:dyDescent="0.25">
      <c r="A727" s="1" t="s">
        <v>717</v>
      </c>
      <c r="B727" s="8">
        <v>46179</v>
      </c>
      <c r="C727" s="8">
        <v>46045</v>
      </c>
      <c r="D727" s="8">
        <v>45892</v>
      </c>
      <c r="E727" s="8">
        <v>45778</v>
      </c>
    </row>
    <row r="728" spans="1:5" x14ac:dyDescent="0.25">
      <c r="A728" s="1" t="s">
        <v>718</v>
      </c>
      <c r="B728" s="8">
        <v>46248</v>
      </c>
      <c r="C728" s="8">
        <v>46087</v>
      </c>
      <c r="D728" s="8">
        <v>45912</v>
      </c>
      <c r="E728" s="8">
        <v>45698</v>
      </c>
    </row>
    <row r="729" spans="1:5" x14ac:dyDescent="0.25">
      <c r="A729" s="1" t="s">
        <v>721</v>
      </c>
      <c r="B729" s="8">
        <v>45663</v>
      </c>
      <c r="C729" s="8">
        <v>45552</v>
      </c>
      <c r="D729" s="8"/>
      <c r="E729" s="8"/>
    </row>
    <row r="730" spans="1:5" x14ac:dyDescent="0.25">
      <c r="A730" s="1" t="s">
        <v>720</v>
      </c>
      <c r="B730" s="8">
        <v>46112</v>
      </c>
      <c r="C730" s="8">
        <v>45964</v>
      </c>
      <c r="D730" s="8">
        <v>45680</v>
      </c>
      <c r="E730" s="8">
        <v>45506</v>
      </c>
    </row>
    <row r="731" spans="1:5" x14ac:dyDescent="0.25">
      <c r="A731" s="1" t="s">
        <v>719</v>
      </c>
      <c r="B731" s="8">
        <v>46042</v>
      </c>
      <c r="C731" s="8">
        <v>45892</v>
      </c>
      <c r="D731" s="8">
        <v>45703</v>
      </c>
      <c r="E731" s="8">
        <v>45539</v>
      </c>
    </row>
    <row r="732" spans="1:5" x14ac:dyDescent="0.25">
      <c r="A732" s="1" t="s">
        <v>724</v>
      </c>
      <c r="B732" s="8">
        <v>45513</v>
      </c>
      <c r="C732" s="8"/>
      <c r="D732" s="8"/>
      <c r="E732" s="8"/>
    </row>
    <row r="733" spans="1:5" x14ac:dyDescent="0.25">
      <c r="A733" s="1" t="s">
        <v>722</v>
      </c>
      <c r="B733" s="8">
        <v>45733</v>
      </c>
      <c r="C733" s="8">
        <v>45588</v>
      </c>
      <c r="D733" s="8"/>
      <c r="E733" s="8"/>
    </row>
    <row r="734" spans="1:5" x14ac:dyDescent="0.25">
      <c r="A734" s="1" t="s">
        <v>725</v>
      </c>
      <c r="B734" s="8">
        <v>45733</v>
      </c>
      <c r="C734" s="8">
        <v>45588</v>
      </c>
      <c r="D734" s="8"/>
      <c r="E734" s="8"/>
    </row>
    <row r="735" spans="1:5" x14ac:dyDescent="0.25">
      <c r="A735" s="1" t="s">
        <v>723</v>
      </c>
      <c r="B735" s="8">
        <v>46147</v>
      </c>
      <c r="C735" s="8">
        <v>46049</v>
      </c>
      <c r="D735" s="8">
        <v>45703</v>
      </c>
      <c r="E735" s="8">
        <v>45507</v>
      </c>
    </row>
    <row r="736" spans="1:5" x14ac:dyDescent="0.25">
      <c r="A736" s="1" t="s">
        <v>726</v>
      </c>
      <c r="B736" s="8">
        <v>46260</v>
      </c>
      <c r="C736" s="8">
        <v>46059</v>
      </c>
      <c r="D736" s="8">
        <v>45898</v>
      </c>
      <c r="E736" s="8">
        <v>45747</v>
      </c>
    </row>
    <row r="737" spans="1:5" x14ac:dyDescent="0.25">
      <c r="A737" s="1" t="s">
        <v>727</v>
      </c>
      <c r="B737" s="8">
        <v>46247</v>
      </c>
      <c r="C737" s="8">
        <v>46085</v>
      </c>
      <c r="D737" s="8">
        <v>45729</v>
      </c>
      <c r="E737" s="8">
        <v>45498</v>
      </c>
    </row>
    <row r="738" spans="1:5" x14ac:dyDescent="0.25">
      <c r="A738" s="1" t="s">
        <v>728</v>
      </c>
      <c r="B738" s="8">
        <v>46149</v>
      </c>
      <c r="C738" s="8">
        <v>46141</v>
      </c>
      <c r="D738" s="8">
        <v>45700</v>
      </c>
      <c r="E738" s="8">
        <v>45527</v>
      </c>
    </row>
    <row r="739" spans="1:5" x14ac:dyDescent="0.25">
      <c r="A739" s="1" t="s">
        <v>729</v>
      </c>
      <c r="B739" s="8">
        <v>46260</v>
      </c>
      <c r="C739" s="8">
        <v>46059</v>
      </c>
      <c r="D739" s="8">
        <v>45898</v>
      </c>
      <c r="E739" s="8">
        <v>45712</v>
      </c>
    </row>
    <row r="740" spans="1:5" x14ac:dyDescent="0.25">
      <c r="A740" s="1" t="s">
        <v>730</v>
      </c>
      <c r="B740" s="8">
        <v>45790</v>
      </c>
      <c r="C740" s="8">
        <v>45512</v>
      </c>
      <c r="D740" s="8"/>
      <c r="E740" s="8"/>
    </row>
    <row r="741" spans="1:5" x14ac:dyDescent="0.25">
      <c r="A741" s="1" t="s">
        <v>731</v>
      </c>
      <c r="B741" s="8">
        <v>46178</v>
      </c>
      <c r="C741" s="8">
        <v>46078</v>
      </c>
      <c r="D741" s="8">
        <v>45894</v>
      </c>
      <c r="E741" s="8">
        <v>45629</v>
      </c>
    </row>
    <row r="742" spans="1:5" x14ac:dyDescent="0.25">
      <c r="A742" s="1" t="s">
        <v>732</v>
      </c>
      <c r="B742" s="8">
        <v>45714</v>
      </c>
      <c r="C742" s="8">
        <v>45698</v>
      </c>
      <c r="D742" s="8"/>
      <c r="E742" s="8"/>
    </row>
    <row r="743" spans="1:5" x14ac:dyDescent="0.25">
      <c r="A743" s="1" t="s">
        <v>734</v>
      </c>
      <c r="B743" s="8">
        <v>45717</v>
      </c>
      <c r="C743" s="8">
        <v>45545</v>
      </c>
      <c r="D743" s="8"/>
      <c r="E743" s="8"/>
    </row>
    <row r="744" spans="1:5" x14ac:dyDescent="0.25">
      <c r="A744" s="1" t="s">
        <v>733</v>
      </c>
      <c r="B744" s="8">
        <v>45699</v>
      </c>
      <c r="C744" s="8">
        <v>45510</v>
      </c>
      <c r="D744" s="8"/>
      <c r="E744" s="8"/>
    </row>
    <row r="745" spans="1:5" x14ac:dyDescent="0.25">
      <c r="A745" s="1" t="s">
        <v>735</v>
      </c>
      <c r="B745" s="8">
        <v>46256</v>
      </c>
      <c r="C745" s="8">
        <v>46043</v>
      </c>
      <c r="D745" s="8">
        <v>45899</v>
      </c>
      <c r="E745" s="8">
        <v>45717</v>
      </c>
    </row>
    <row r="746" spans="1:5" x14ac:dyDescent="0.25">
      <c r="A746" s="1" t="s">
        <v>738</v>
      </c>
      <c r="B746" s="8">
        <v>45717</v>
      </c>
      <c r="C746" s="8">
        <v>45517</v>
      </c>
      <c r="D746" s="8"/>
      <c r="E746" s="8"/>
    </row>
    <row r="747" spans="1:5" x14ac:dyDescent="0.25">
      <c r="A747" s="1" t="s">
        <v>736</v>
      </c>
      <c r="B747" s="8">
        <v>45947</v>
      </c>
      <c r="C747" s="8">
        <v>45714</v>
      </c>
      <c r="D747" s="8">
        <v>45588</v>
      </c>
      <c r="E747" s="8"/>
    </row>
    <row r="748" spans="1:5" x14ac:dyDescent="0.25">
      <c r="A748" s="1" t="s">
        <v>737</v>
      </c>
      <c r="B748" s="8">
        <v>46202</v>
      </c>
      <c r="C748" s="8">
        <v>46107</v>
      </c>
      <c r="D748" s="8">
        <v>45945</v>
      </c>
      <c r="E748" s="8">
        <v>45693</v>
      </c>
    </row>
    <row r="749" spans="1:5" x14ac:dyDescent="0.25">
      <c r="A749" s="1" t="s">
        <v>739</v>
      </c>
      <c r="B749" s="8">
        <v>46022</v>
      </c>
      <c r="C749" s="8">
        <v>45881</v>
      </c>
      <c r="D749" s="8">
        <v>45744</v>
      </c>
      <c r="E749" s="8">
        <v>45553</v>
      </c>
    </row>
    <row r="750" spans="1:5" x14ac:dyDescent="0.25">
      <c r="A750" s="1" t="s">
        <v>740</v>
      </c>
      <c r="B750" s="8">
        <v>45682</v>
      </c>
      <c r="C750" s="8">
        <v>45509</v>
      </c>
      <c r="D750" s="8"/>
      <c r="E750" s="8"/>
    </row>
    <row r="751" spans="1:5" x14ac:dyDescent="0.25">
      <c r="A751" s="1" t="s">
        <v>742</v>
      </c>
      <c r="B751" s="8">
        <v>46269</v>
      </c>
      <c r="C751" s="8">
        <v>45682</v>
      </c>
      <c r="D751" s="8">
        <v>45534</v>
      </c>
      <c r="E751" s="8"/>
    </row>
    <row r="752" spans="1:5" x14ac:dyDescent="0.25">
      <c r="A752" s="1" t="s">
        <v>741</v>
      </c>
      <c r="B752" s="8">
        <v>45682</v>
      </c>
      <c r="C752" s="8">
        <v>45509</v>
      </c>
      <c r="D752" s="8"/>
      <c r="E752" s="8"/>
    </row>
    <row r="753" spans="1:5" x14ac:dyDescent="0.25">
      <c r="A753" s="1" t="s">
        <v>744</v>
      </c>
      <c r="B753" s="8">
        <v>46231</v>
      </c>
      <c r="C753" s="8">
        <v>46037</v>
      </c>
      <c r="D753" s="8">
        <v>45871</v>
      </c>
      <c r="E753" s="8">
        <v>45678</v>
      </c>
    </row>
    <row r="754" spans="1:5" x14ac:dyDescent="0.25">
      <c r="A754" s="1" t="s">
        <v>743</v>
      </c>
      <c r="B754" s="8">
        <v>46268</v>
      </c>
      <c r="C754" s="8">
        <v>46241</v>
      </c>
      <c r="D754" s="8">
        <v>46151</v>
      </c>
      <c r="E754" s="8">
        <v>45859</v>
      </c>
    </row>
    <row r="755" spans="1:5" x14ac:dyDescent="0.25">
      <c r="A755" s="1" t="s">
        <v>745</v>
      </c>
      <c r="B755" s="8">
        <v>46230</v>
      </c>
      <c r="C755" s="8">
        <v>46037</v>
      </c>
      <c r="D755" s="8">
        <v>45904</v>
      </c>
      <c r="E755" s="8">
        <v>45679</v>
      </c>
    </row>
    <row r="756" spans="1:5" x14ac:dyDescent="0.25">
      <c r="A756" s="1" t="s">
        <v>746</v>
      </c>
      <c r="B756" s="8">
        <v>45681</v>
      </c>
      <c r="C756" s="8">
        <v>45534</v>
      </c>
      <c r="D756" s="8"/>
      <c r="E756" s="8"/>
    </row>
    <row r="757" spans="1:5" x14ac:dyDescent="0.25">
      <c r="A757" s="1" t="s">
        <v>747</v>
      </c>
      <c r="B757" s="8">
        <v>46270</v>
      </c>
      <c r="C757" s="8">
        <v>46030</v>
      </c>
      <c r="D757" s="8">
        <v>46018</v>
      </c>
      <c r="E757" s="8">
        <v>45678</v>
      </c>
    </row>
    <row r="758" spans="1:5" x14ac:dyDescent="0.25">
      <c r="A758" s="1" t="s">
        <v>748</v>
      </c>
      <c r="B758" s="8">
        <v>45678</v>
      </c>
      <c r="C758" s="8">
        <v>45505</v>
      </c>
      <c r="D758" s="8"/>
      <c r="E758" s="8"/>
    </row>
    <row r="759" spans="1:5" x14ac:dyDescent="0.25">
      <c r="A759" s="1" t="s">
        <v>749</v>
      </c>
      <c r="B759" s="8">
        <v>45678</v>
      </c>
      <c r="C759" s="8">
        <v>45505</v>
      </c>
      <c r="D759" s="8"/>
      <c r="E759" s="8"/>
    </row>
    <row r="760" spans="1:5" x14ac:dyDescent="0.25">
      <c r="A760" s="1" t="s">
        <v>750</v>
      </c>
      <c r="B760" s="8">
        <v>46196</v>
      </c>
      <c r="C760" s="8">
        <v>46046</v>
      </c>
      <c r="D760" s="8">
        <v>45987</v>
      </c>
      <c r="E760" s="8">
        <v>45860</v>
      </c>
    </row>
    <row r="761" spans="1:5" x14ac:dyDescent="0.25">
      <c r="A761" s="1" t="s">
        <v>751</v>
      </c>
      <c r="B761" s="8">
        <v>45567</v>
      </c>
      <c r="C761" s="8">
        <v>45427</v>
      </c>
      <c r="D761" s="8">
        <v>45399</v>
      </c>
      <c r="E761" s="8"/>
    </row>
    <row r="762" spans="1:5" x14ac:dyDescent="0.25">
      <c r="A762" s="1" t="s">
        <v>753</v>
      </c>
      <c r="B762" s="8">
        <v>46037</v>
      </c>
      <c r="C762" s="8">
        <v>45859</v>
      </c>
      <c r="D762" s="8">
        <v>45691</v>
      </c>
      <c r="E762" s="8">
        <v>45494</v>
      </c>
    </row>
    <row r="763" spans="1:5" x14ac:dyDescent="0.25">
      <c r="A763" s="1" t="s">
        <v>752</v>
      </c>
      <c r="B763" s="8">
        <v>46186</v>
      </c>
      <c r="C763" s="8">
        <v>46037</v>
      </c>
      <c r="D763" s="8">
        <v>45859</v>
      </c>
      <c r="E763" s="8">
        <v>45691</v>
      </c>
    </row>
    <row r="764" spans="1:5" x14ac:dyDescent="0.25">
      <c r="A764" s="1" t="s">
        <v>754</v>
      </c>
      <c r="B764" s="8">
        <v>46055</v>
      </c>
      <c r="C764" s="8">
        <v>45849</v>
      </c>
      <c r="D764" s="8">
        <v>45647</v>
      </c>
      <c r="E764" s="8">
        <v>45488</v>
      </c>
    </row>
    <row r="765" spans="1:5" x14ac:dyDescent="0.25">
      <c r="A765" s="1" t="s">
        <v>756</v>
      </c>
      <c r="B765" s="8">
        <v>46295</v>
      </c>
      <c r="C765" s="8">
        <v>46099</v>
      </c>
      <c r="D765" s="8">
        <v>45665</v>
      </c>
      <c r="E765" s="8"/>
    </row>
    <row r="766" spans="1:5" x14ac:dyDescent="0.25">
      <c r="A766" s="1" t="s">
        <v>755</v>
      </c>
      <c r="B766" s="8">
        <v>46295</v>
      </c>
      <c r="C766" s="8">
        <v>46099</v>
      </c>
      <c r="D766" s="8">
        <v>45665</v>
      </c>
      <c r="E766" s="8"/>
    </row>
    <row r="767" spans="1:5" x14ac:dyDescent="0.25">
      <c r="A767" s="1" t="s">
        <v>757</v>
      </c>
      <c r="B767" s="8">
        <v>46201</v>
      </c>
      <c r="C767" s="8">
        <v>46025</v>
      </c>
      <c r="D767" s="8">
        <v>45930</v>
      </c>
      <c r="E767" s="8"/>
    </row>
    <row r="768" spans="1:5" x14ac:dyDescent="0.25">
      <c r="A768" s="1" t="s">
        <v>758</v>
      </c>
      <c r="B768" s="8">
        <v>46144</v>
      </c>
      <c r="C768" s="8">
        <v>45925</v>
      </c>
      <c r="D768" s="8">
        <v>45703</v>
      </c>
      <c r="E768" s="8">
        <v>45414</v>
      </c>
    </row>
    <row r="769" spans="1:5" x14ac:dyDescent="0.25">
      <c r="A769" s="1" t="s">
        <v>759</v>
      </c>
      <c r="B769" s="8">
        <v>46037</v>
      </c>
      <c r="C769" s="8">
        <v>45814</v>
      </c>
      <c r="D769" s="8">
        <v>45650</v>
      </c>
      <c r="E769" s="8">
        <v>45446</v>
      </c>
    </row>
    <row r="770" spans="1:5" x14ac:dyDescent="0.25">
      <c r="A770" s="1" t="s">
        <v>760</v>
      </c>
      <c r="B770" s="8">
        <v>46024</v>
      </c>
      <c r="C770" s="8">
        <v>45812</v>
      </c>
      <c r="D770" s="8">
        <v>45635</v>
      </c>
      <c r="E770" s="8">
        <v>45492</v>
      </c>
    </row>
    <row r="771" spans="1:5" x14ac:dyDescent="0.25">
      <c r="A771" s="1" t="s">
        <v>761</v>
      </c>
      <c r="B771" s="8">
        <v>46218</v>
      </c>
      <c r="C771" s="8">
        <v>45919</v>
      </c>
      <c r="D771" s="8">
        <v>45748</v>
      </c>
      <c r="E771" s="8">
        <v>45650</v>
      </c>
    </row>
    <row r="772" spans="1:5" x14ac:dyDescent="0.25">
      <c r="A772" s="1" t="s">
        <v>762</v>
      </c>
      <c r="B772" s="8">
        <v>46174</v>
      </c>
      <c r="C772" s="8">
        <v>46008</v>
      </c>
      <c r="D772" s="8">
        <v>45829</v>
      </c>
      <c r="E772" s="8">
        <v>45649</v>
      </c>
    </row>
    <row r="773" spans="1:5" x14ac:dyDescent="0.25">
      <c r="A773" s="1" t="s">
        <v>764</v>
      </c>
      <c r="B773" s="8"/>
      <c r="C773" s="8"/>
      <c r="D773" s="8"/>
      <c r="E773" s="8"/>
    </row>
    <row r="774" spans="1:5" x14ac:dyDescent="0.25">
      <c r="A774" s="1" t="s">
        <v>763</v>
      </c>
      <c r="B774" s="8">
        <v>46210</v>
      </c>
      <c r="C774" s="8">
        <v>45974</v>
      </c>
      <c r="D774" s="8">
        <v>45805</v>
      </c>
      <c r="E774" s="8">
        <v>45633</v>
      </c>
    </row>
    <row r="775" spans="1:5" x14ac:dyDescent="0.25">
      <c r="A775" s="1" t="s">
        <v>765</v>
      </c>
      <c r="B775" s="8">
        <v>45624</v>
      </c>
      <c r="C775" s="8">
        <v>45425</v>
      </c>
      <c r="D775" s="8"/>
      <c r="E775" s="8"/>
    </row>
    <row r="776" spans="1:5" x14ac:dyDescent="0.25">
      <c r="A776" s="1" t="s">
        <v>766</v>
      </c>
      <c r="B776" s="8">
        <v>46109</v>
      </c>
      <c r="C776" s="8">
        <v>45624</v>
      </c>
      <c r="D776" s="8">
        <v>45425</v>
      </c>
      <c r="E776" s="8"/>
    </row>
    <row r="777" spans="1:5" x14ac:dyDescent="0.25">
      <c r="A777" s="1" t="s">
        <v>767</v>
      </c>
      <c r="B777" s="8">
        <v>46205</v>
      </c>
      <c r="C777" s="8">
        <v>45939</v>
      </c>
      <c r="D777" s="8">
        <v>45824</v>
      </c>
      <c r="E777" s="8">
        <v>45661</v>
      </c>
    </row>
    <row r="778" spans="1:5" x14ac:dyDescent="0.25">
      <c r="A778" s="1" t="s">
        <v>768</v>
      </c>
      <c r="B778" s="8">
        <v>45717</v>
      </c>
      <c r="C778" s="8">
        <v>45661</v>
      </c>
      <c r="D778" s="8">
        <v>45469</v>
      </c>
      <c r="E778" s="8"/>
    </row>
    <row r="779" spans="1:5" x14ac:dyDescent="0.25">
      <c r="A779" s="1" t="s">
        <v>769</v>
      </c>
      <c r="B779" s="8">
        <v>46213</v>
      </c>
      <c r="C779" s="8">
        <v>45995</v>
      </c>
      <c r="D779" s="8">
        <v>45834</v>
      </c>
      <c r="E779" s="8">
        <v>45631</v>
      </c>
    </row>
    <row r="780" spans="1:5" x14ac:dyDescent="0.25">
      <c r="A780" s="1" t="s">
        <v>770</v>
      </c>
      <c r="B780" s="8">
        <v>46238</v>
      </c>
      <c r="C780" s="8">
        <v>46029</v>
      </c>
      <c r="D780" s="8">
        <v>45882</v>
      </c>
      <c r="E780" s="8">
        <v>45631</v>
      </c>
    </row>
    <row r="781" spans="1:5" x14ac:dyDescent="0.25">
      <c r="A781" s="1" t="s">
        <v>771</v>
      </c>
      <c r="B781" s="8">
        <v>46210</v>
      </c>
      <c r="C781" s="8">
        <v>45974</v>
      </c>
      <c r="D781" s="8">
        <v>45803</v>
      </c>
      <c r="E781" s="8">
        <v>45633</v>
      </c>
    </row>
    <row r="782" spans="1:5" x14ac:dyDescent="0.25">
      <c r="A782" s="1" t="s">
        <v>772</v>
      </c>
      <c r="B782" s="8">
        <v>46057</v>
      </c>
      <c r="C782" s="8">
        <v>45828</v>
      </c>
      <c r="D782" s="8">
        <v>45644</v>
      </c>
      <c r="E782" s="8">
        <v>45443</v>
      </c>
    </row>
    <row r="783" spans="1:5" x14ac:dyDescent="0.25">
      <c r="A783" s="1" t="s">
        <v>773</v>
      </c>
      <c r="B783" s="8">
        <v>45630</v>
      </c>
      <c r="C783" s="8">
        <v>45464</v>
      </c>
      <c r="D783" s="8"/>
      <c r="E783" s="8"/>
    </row>
    <row r="784" spans="1:5" x14ac:dyDescent="0.25">
      <c r="A784" s="1" t="s">
        <v>774</v>
      </c>
      <c r="B784" s="8">
        <v>46136</v>
      </c>
      <c r="C784" s="8">
        <v>45982</v>
      </c>
      <c r="D784" s="8">
        <v>45623</v>
      </c>
      <c r="E784" s="8">
        <v>45441</v>
      </c>
    </row>
    <row r="785" spans="1:5" x14ac:dyDescent="0.25">
      <c r="A785" s="1" t="s">
        <v>775</v>
      </c>
      <c r="B785" s="8">
        <v>45604</v>
      </c>
      <c r="C785" s="8">
        <v>45443</v>
      </c>
      <c r="D785" s="8"/>
      <c r="E785" s="8"/>
    </row>
    <row r="786" spans="1:5" x14ac:dyDescent="0.25">
      <c r="A786" s="1" t="s">
        <v>776</v>
      </c>
      <c r="B786" s="8">
        <v>46183</v>
      </c>
      <c r="C786" s="8">
        <v>46007</v>
      </c>
      <c r="D786" s="8">
        <v>45780</v>
      </c>
      <c r="E786" s="8">
        <v>45615</v>
      </c>
    </row>
    <row r="787" spans="1:5" x14ac:dyDescent="0.25">
      <c r="A787" s="1" t="s">
        <v>777</v>
      </c>
      <c r="B787" s="8">
        <v>46206</v>
      </c>
      <c r="C787" s="8">
        <v>46008</v>
      </c>
      <c r="D787" s="8">
        <v>45808</v>
      </c>
      <c r="E787" s="8">
        <v>45623</v>
      </c>
    </row>
    <row r="788" spans="1:5" x14ac:dyDescent="0.25">
      <c r="A788" s="1" t="s">
        <v>782</v>
      </c>
      <c r="B788" s="8">
        <v>45717</v>
      </c>
      <c r="C788" s="8">
        <v>45624</v>
      </c>
      <c r="D788" s="8">
        <v>45448</v>
      </c>
      <c r="E788" s="8"/>
    </row>
    <row r="789" spans="1:5" x14ac:dyDescent="0.25">
      <c r="A789" s="1" t="s">
        <v>779</v>
      </c>
      <c r="B789" s="8"/>
      <c r="C789" s="8"/>
      <c r="D789" s="8"/>
      <c r="E789" s="8"/>
    </row>
    <row r="790" spans="1:5" x14ac:dyDescent="0.25">
      <c r="A790" s="1" t="s">
        <v>780</v>
      </c>
      <c r="B790" s="8">
        <v>46146</v>
      </c>
      <c r="C790" s="8">
        <v>45967</v>
      </c>
      <c r="D790" s="8">
        <v>45856</v>
      </c>
      <c r="E790" s="8">
        <v>45532</v>
      </c>
    </row>
    <row r="791" spans="1:5" x14ac:dyDescent="0.25">
      <c r="A791" s="1" t="s">
        <v>781</v>
      </c>
      <c r="B791" s="8">
        <v>46008</v>
      </c>
      <c r="C791" s="8">
        <v>45829</v>
      </c>
      <c r="D791" s="8">
        <v>45530</v>
      </c>
      <c r="E791" s="8">
        <v>45427</v>
      </c>
    </row>
    <row r="792" spans="1:5" x14ac:dyDescent="0.25">
      <c r="A792" s="1" t="s">
        <v>778</v>
      </c>
      <c r="B792" s="8">
        <v>45633</v>
      </c>
      <c r="C792" s="8">
        <v>45457</v>
      </c>
      <c r="D792" s="8"/>
      <c r="E792" s="8"/>
    </row>
    <row r="793" spans="1:5" x14ac:dyDescent="0.25">
      <c r="A793" s="1" t="s">
        <v>785</v>
      </c>
      <c r="B793" s="8">
        <v>46295</v>
      </c>
      <c r="C793" s="8">
        <v>46177</v>
      </c>
      <c r="D793" s="8">
        <v>46025</v>
      </c>
      <c r="E793" s="8">
        <v>45825</v>
      </c>
    </row>
    <row r="794" spans="1:5" x14ac:dyDescent="0.25">
      <c r="A794" s="1" t="s">
        <v>784</v>
      </c>
      <c r="B794" s="8">
        <v>46198</v>
      </c>
      <c r="C794" s="8">
        <v>45937</v>
      </c>
      <c r="D794" s="8">
        <v>45828</v>
      </c>
      <c r="E794" s="8"/>
    </row>
    <row r="795" spans="1:5" x14ac:dyDescent="0.25">
      <c r="A795" s="1" t="s">
        <v>783</v>
      </c>
      <c r="B795" s="8">
        <v>46326</v>
      </c>
      <c r="C795" s="8">
        <v>46155</v>
      </c>
      <c r="D795" s="8">
        <v>45994</v>
      </c>
      <c r="E795" s="8">
        <v>45663</v>
      </c>
    </row>
    <row r="796" spans="1:5" x14ac:dyDescent="0.25">
      <c r="A796" s="1" t="s">
        <v>786</v>
      </c>
      <c r="B796" s="8">
        <v>46218</v>
      </c>
      <c r="C796" s="8">
        <v>45985</v>
      </c>
      <c r="D796" s="8">
        <v>45784</v>
      </c>
      <c r="E796" s="8">
        <v>45584</v>
      </c>
    </row>
    <row r="797" spans="1:5" x14ac:dyDescent="0.25">
      <c r="A797" s="1" t="s">
        <v>787</v>
      </c>
      <c r="B797" s="8">
        <v>46206</v>
      </c>
      <c r="C797" s="8">
        <v>46156</v>
      </c>
      <c r="D797" s="8">
        <v>46014</v>
      </c>
      <c r="E797" s="8">
        <v>45800</v>
      </c>
    </row>
    <row r="798" spans="1:5" x14ac:dyDescent="0.25">
      <c r="A798" s="1" t="s">
        <v>788</v>
      </c>
      <c r="B798" s="8">
        <v>46204</v>
      </c>
      <c r="C798" s="8">
        <v>46171</v>
      </c>
      <c r="D798" s="8">
        <v>45612</v>
      </c>
      <c r="E798" s="8">
        <v>45441</v>
      </c>
    </row>
    <row r="799" spans="1:5" x14ac:dyDescent="0.25">
      <c r="A799" s="1" t="s">
        <v>789</v>
      </c>
      <c r="B799" s="8">
        <v>46302</v>
      </c>
      <c r="C799" s="8">
        <v>46112</v>
      </c>
      <c r="D799" s="8">
        <v>46056</v>
      </c>
      <c r="E799" s="8">
        <v>45981</v>
      </c>
    </row>
    <row r="800" spans="1:5" x14ac:dyDescent="0.25">
      <c r="A800" s="1" t="s">
        <v>790</v>
      </c>
      <c r="B800" s="8">
        <v>45631</v>
      </c>
      <c r="C800" s="8"/>
      <c r="D800" s="8"/>
      <c r="E800" s="8"/>
    </row>
    <row r="801" spans="1:5" x14ac:dyDescent="0.25">
      <c r="A801" s="1" t="s">
        <v>792</v>
      </c>
      <c r="B801" s="8">
        <v>46155</v>
      </c>
      <c r="C801" s="8">
        <v>45982</v>
      </c>
      <c r="D801" s="8">
        <v>45818</v>
      </c>
      <c r="E801" s="8">
        <v>45653</v>
      </c>
    </row>
    <row r="802" spans="1:5" x14ac:dyDescent="0.25">
      <c r="A802" s="1" t="s">
        <v>791</v>
      </c>
      <c r="B802" s="8">
        <v>46322</v>
      </c>
      <c r="C802" s="8">
        <v>46155</v>
      </c>
      <c r="D802" s="8">
        <v>45982</v>
      </c>
      <c r="E802" s="8">
        <v>45818</v>
      </c>
    </row>
    <row r="803" spans="1:5" x14ac:dyDescent="0.25">
      <c r="A803" s="1" t="s">
        <v>793</v>
      </c>
      <c r="B803" s="8">
        <v>46189</v>
      </c>
      <c r="C803" s="8">
        <v>46092</v>
      </c>
      <c r="D803" s="8">
        <v>45628</v>
      </c>
      <c r="E803" s="8">
        <v>45422</v>
      </c>
    </row>
    <row r="804" spans="1:5" x14ac:dyDescent="0.25">
      <c r="A804" s="1" t="s">
        <v>794</v>
      </c>
      <c r="B804" s="8">
        <v>46196</v>
      </c>
      <c r="C804" s="8">
        <v>45619</v>
      </c>
      <c r="D804" s="8">
        <v>45449</v>
      </c>
      <c r="E804" s="8"/>
    </row>
    <row r="805" spans="1:5" x14ac:dyDescent="0.25">
      <c r="A805" s="1" t="s">
        <v>795</v>
      </c>
      <c r="B805" s="8">
        <v>46196</v>
      </c>
      <c r="C805" s="8">
        <v>46028</v>
      </c>
      <c r="D805" s="8">
        <v>45612</v>
      </c>
      <c r="E805" s="8">
        <v>45384</v>
      </c>
    </row>
    <row r="806" spans="1:5" x14ac:dyDescent="0.25">
      <c r="A806" s="1" t="s">
        <v>796</v>
      </c>
      <c r="B806" s="8">
        <v>46161</v>
      </c>
      <c r="C806" s="8">
        <v>45964</v>
      </c>
      <c r="D806" s="8">
        <v>45785</v>
      </c>
      <c r="E806" s="8">
        <v>45639</v>
      </c>
    </row>
    <row r="807" spans="1:5" x14ac:dyDescent="0.25">
      <c r="A807" s="1" t="s">
        <v>797</v>
      </c>
      <c r="B807" s="8">
        <v>45737</v>
      </c>
      <c r="C807" s="8">
        <v>45409</v>
      </c>
      <c r="D807" s="8"/>
      <c r="E807" s="8"/>
    </row>
    <row r="808" spans="1:5" x14ac:dyDescent="0.25">
      <c r="A808" s="1" t="s">
        <v>798</v>
      </c>
      <c r="B808" s="8">
        <v>46184</v>
      </c>
      <c r="C808" s="8">
        <v>45971</v>
      </c>
      <c r="D808" s="8">
        <v>45855</v>
      </c>
      <c r="E808" s="8">
        <v>45631</v>
      </c>
    </row>
    <row r="809" spans="1:5" x14ac:dyDescent="0.25">
      <c r="A809" s="1" t="s">
        <v>799</v>
      </c>
      <c r="B809" s="8">
        <v>46155</v>
      </c>
      <c r="C809" s="8">
        <v>45986</v>
      </c>
      <c r="D809" s="8">
        <v>45792</v>
      </c>
      <c r="E809" s="8">
        <v>45614</v>
      </c>
    </row>
    <row r="810" spans="1:5" x14ac:dyDescent="0.25">
      <c r="A810" s="1" t="s">
        <v>801</v>
      </c>
      <c r="B810" s="8">
        <v>45621</v>
      </c>
      <c r="C810" s="8">
        <v>45498</v>
      </c>
      <c r="D810" s="8"/>
      <c r="E810" s="8"/>
    </row>
    <row r="811" spans="1:5" x14ac:dyDescent="0.25">
      <c r="A811" s="1" t="s">
        <v>800</v>
      </c>
      <c r="B811" s="8">
        <v>46193</v>
      </c>
      <c r="C811" s="8">
        <v>46030</v>
      </c>
      <c r="D811" s="8">
        <v>45637</v>
      </c>
      <c r="E811" s="8">
        <v>45392</v>
      </c>
    </row>
    <row r="812" spans="1:5" x14ac:dyDescent="0.25">
      <c r="A812" s="1" t="s">
        <v>802</v>
      </c>
      <c r="B812" s="8">
        <v>45552</v>
      </c>
      <c r="C812" s="8">
        <v>45418</v>
      </c>
      <c r="D812" s="8"/>
      <c r="E812" s="8"/>
    </row>
    <row r="813" spans="1:5" x14ac:dyDescent="0.25">
      <c r="A813" s="1" t="s">
        <v>803</v>
      </c>
      <c r="B813" s="8">
        <v>46171</v>
      </c>
      <c r="C813" s="8">
        <v>45946</v>
      </c>
      <c r="D813" s="8">
        <v>45765</v>
      </c>
      <c r="E813" s="8">
        <v>45629</v>
      </c>
    </row>
    <row r="814" spans="1:5" x14ac:dyDescent="0.25">
      <c r="A814" s="1" t="s">
        <v>804</v>
      </c>
      <c r="B814" s="8">
        <v>45958</v>
      </c>
      <c r="C814" s="8">
        <v>45558</v>
      </c>
      <c r="D814" s="8">
        <v>45434</v>
      </c>
      <c r="E814" s="8"/>
    </row>
    <row r="815" spans="1:5" x14ac:dyDescent="0.25">
      <c r="A815" s="1" t="s">
        <v>805</v>
      </c>
      <c r="B815" s="8">
        <v>45583</v>
      </c>
      <c r="C815" s="8">
        <v>45442</v>
      </c>
      <c r="D815" s="8">
        <v>45401</v>
      </c>
      <c r="E815" s="8"/>
    </row>
    <row r="816" spans="1:5" x14ac:dyDescent="0.25">
      <c r="A816" s="1" t="s">
        <v>806</v>
      </c>
      <c r="B816" s="8">
        <v>46295</v>
      </c>
      <c r="C816" s="8">
        <v>46099</v>
      </c>
      <c r="D816" s="8">
        <v>45939</v>
      </c>
      <c r="E816" s="8">
        <v>45777</v>
      </c>
    </row>
    <row r="817" spans="1:5" x14ac:dyDescent="0.25">
      <c r="A817" s="1" t="s">
        <v>807</v>
      </c>
      <c r="B817" s="8">
        <v>45498</v>
      </c>
      <c r="C817" s="8">
        <v>45398</v>
      </c>
      <c r="D817" s="8"/>
      <c r="E817" s="8"/>
    </row>
    <row r="818" spans="1:5" x14ac:dyDescent="0.25">
      <c r="A818" s="1" t="s">
        <v>808</v>
      </c>
      <c r="B818" s="8">
        <v>45583</v>
      </c>
      <c r="C818" s="8">
        <v>45539</v>
      </c>
      <c r="D818" s="8">
        <v>45386</v>
      </c>
      <c r="E818" s="8"/>
    </row>
    <row r="819" spans="1:5" x14ac:dyDescent="0.25">
      <c r="A819" s="1" t="s">
        <v>809</v>
      </c>
      <c r="B819" s="8"/>
      <c r="C819" s="8"/>
      <c r="D819" s="8"/>
      <c r="E819" s="8"/>
    </row>
    <row r="820" spans="1:5" x14ac:dyDescent="0.25">
      <c r="A820" s="1" t="s">
        <v>810</v>
      </c>
      <c r="B820" s="8">
        <v>45875</v>
      </c>
      <c r="C820" s="8">
        <v>45778</v>
      </c>
      <c r="D820" s="8">
        <v>45613</v>
      </c>
      <c r="E820" s="8">
        <v>45404</v>
      </c>
    </row>
    <row r="821" spans="1:5" x14ac:dyDescent="0.25">
      <c r="A821" s="1" t="s">
        <v>811</v>
      </c>
      <c r="B821" s="8">
        <v>45960</v>
      </c>
      <c r="C821" s="8">
        <v>45768</v>
      </c>
      <c r="D821" s="8">
        <v>45583</v>
      </c>
      <c r="E821" s="8">
        <v>45370</v>
      </c>
    </row>
    <row r="822" spans="1:5" x14ac:dyDescent="0.25">
      <c r="A822" s="1" t="s">
        <v>813</v>
      </c>
      <c r="B822" s="8">
        <v>46300</v>
      </c>
      <c r="C822" s="8">
        <v>46133</v>
      </c>
      <c r="D822" s="8">
        <v>45962</v>
      </c>
      <c r="E822" s="8">
        <v>45755</v>
      </c>
    </row>
    <row r="823" spans="1:5" x14ac:dyDescent="0.25">
      <c r="A823" s="1" t="s">
        <v>812</v>
      </c>
      <c r="B823" s="8"/>
      <c r="C823" s="8"/>
      <c r="D823" s="8"/>
      <c r="E823" s="8"/>
    </row>
    <row r="824" spans="1:5" x14ac:dyDescent="0.25">
      <c r="A824" s="1" t="s">
        <v>814</v>
      </c>
      <c r="B824" s="8">
        <v>45612</v>
      </c>
      <c r="C824" s="8">
        <v>45468</v>
      </c>
      <c r="D824" s="8"/>
      <c r="E824" s="8"/>
    </row>
    <row r="825" spans="1:5" x14ac:dyDescent="0.25">
      <c r="A825" s="1" t="s">
        <v>817</v>
      </c>
      <c r="B825" s="8">
        <v>45600</v>
      </c>
      <c r="C825" s="8">
        <v>45458</v>
      </c>
      <c r="D825" s="8"/>
      <c r="E825" s="8"/>
    </row>
    <row r="826" spans="1:5" x14ac:dyDescent="0.25">
      <c r="A826" s="1" t="s">
        <v>815</v>
      </c>
      <c r="B826" s="8"/>
      <c r="C826" s="8"/>
      <c r="D826" s="8"/>
      <c r="E826" s="8"/>
    </row>
    <row r="827" spans="1:5" x14ac:dyDescent="0.25">
      <c r="A827" s="1" t="s">
        <v>816</v>
      </c>
      <c r="B827" s="8">
        <v>45608</v>
      </c>
      <c r="C827" s="8">
        <v>45414</v>
      </c>
      <c r="D827" s="8"/>
      <c r="E827" s="8"/>
    </row>
    <row r="828" spans="1:5" x14ac:dyDescent="0.25">
      <c r="A828" s="1" t="s">
        <v>818</v>
      </c>
      <c r="B828" s="8">
        <v>45569</v>
      </c>
      <c r="C828" s="8">
        <v>45385</v>
      </c>
      <c r="D828" s="8"/>
      <c r="E828" s="8"/>
    </row>
    <row r="829" spans="1:5" x14ac:dyDescent="0.25">
      <c r="A829" s="1" t="s">
        <v>819</v>
      </c>
      <c r="B829" s="8">
        <v>45962</v>
      </c>
      <c r="C829" s="8">
        <v>45757</v>
      </c>
      <c r="D829" s="8">
        <v>45565</v>
      </c>
      <c r="E829" s="8">
        <v>45415</v>
      </c>
    </row>
    <row r="830" spans="1:5" x14ac:dyDescent="0.25">
      <c r="A830" s="1" t="s">
        <v>820</v>
      </c>
      <c r="B830" s="8">
        <v>46168</v>
      </c>
      <c r="C830" s="8">
        <v>45915</v>
      </c>
      <c r="D830" s="8">
        <v>45733</v>
      </c>
      <c r="E830" s="8">
        <v>45587</v>
      </c>
    </row>
    <row r="831" spans="1:5" x14ac:dyDescent="0.25">
      <c r="A831" s="1" t="s">
        <v>822</v>
      </c>
      <c r="B831" s="8">
        <v>46181</v>
      </c>
      <c r="C831" s="8">
        <v>46009</v>
      </c>
      <c r="D831" s="8">
        <v>45938</v>
      </c>
      <c r="E831" s="8">
        <v>45516</v>
      </c>
    </row>
    <row r="832" spans="1:5" x14ac:dyDescent="0.25">
      <c r="A832" s="1" t="s">
        <v>821</v>
      </c>
      <c r="B832" s="8">
        <v>46181</v>
      </c>
      <c r="C832" s="8">
        <v>46009</v>
      </c>
      <c r="D832" s="8">
        <v>45938</v>
      </c>
      <c r="E832" s="8">
        <v>45516</v>
      </c>
    </row>
    <row r="833" spans="1:5" x14ac:dyDescent="0.25">
      <c r="A833" s="1" t="s">
        <v>823</v>
      </c>
      <c r="B833" s="8">
        <v>45908</v>
      </c>
      <c r="C833" s="8">
        <v>45908</v>
      </c>
      <c r="D833" s="8">
        <v>45908</v>
      </c>
      <c r="E833" s="8">
        <v>45772</v>
      </c>
    </row>
    <row r="834" spans="1:5" x14ac:dyDescent="0.25">
      <c r="A834" s="1" t="s">
        <v>824</v>
      </c>
      <c r="B834" s="8">
        <v>46265</v>
      </c>
      <c r="C834" s="8">
        <v>46140</v>
      </c>
      <c r="D834" s="8">
        <v>45904</v>
      </c>
      <c r="E834" s="8">
        <v>45703</v>
      </c>
    </row>
    <row r="835" spans="1:5" x14ac:dyDescent="0.25">
      <c r="A835" s="1" t="s">
        <v>825</v>
      </c>
      <c r="B835" s="8">
        <v>45819</v>
      </c>
      <c r="C835" s="8">
        <v>45736</v>
      </c>
      <c r="D835" s="8">
        <v>45541</v>
      </c>
      <c r="E835" s="8">
        <v>45372</v>
      </c>
    </row>
    <row r="836" spans="1:5" x14ac:dyDescent="0.25">
      <c r="A836" s="1" t="s">
        <v>826</v>
      </c>
      <c r="B836" s="8">
        <v>45520</v>
      </c>
      <c r="C836" s="8">
        <v>45381</v>
      </c>
      <c r="D836" s="8"/>
      <c r="E836" s="8"/>
    </row>
    <row r="837" spans="1:5" x14ac:dyDescent="0.25">
      <c r="A837" s="1" t="s">
        <v>827</v>
      </c>
      <c r="B837" s="8">
        <v>46202</v>
      </c>
      <c r="C837" s="8">
        <v>46080</v>
      </c>
      <c r="D837" s="8">
        <v>45546</v>
      </c>
      <c r="E837" s="8">
        <v>45398</v>
      </c>
    </row>
    <row r="838" spans="1:5" x14ac:dyDescent="0.25">
      <c r="A838" s="1" t="s">
        <v>828</v>
      </c>
      <c r="B838" s="8">
        <v>46251</v>
      </c>
      <c r="C838" s="8">
        <v>46109</v>
      </c>
      <c r="D838" s="8">
        <v>45902</v>
      </c>
      <c r="E838" s="8">
        <v>45741</v>
      </c>
    </row>
    <row r="839" spans="1:5" x14ac:dyDescent="0.25">
      <c r="A839" s="1" t="s">
        <v>829</v>
      </c>
      <c r="B839" s="8">
        <v>45552</v>
      </c>
      <c r="C839" s="8">
        <v>45418</v>
      </c>
      <c r="D839" s="8"/>
      <c r="E839" s="8"/>
    </row>
    <row r="840" spans="1:5" x14ac:dyDescent="0.25">
      <c r="A840" s="1" t="s">
        <v>830</v>
      </c>
      <c r="B840" s="8">
        <v>46287</v>
      </c>
      <c r="C840" s="8">
        <v>46072</v>
      </c>
      <c r="D840" s="8">
        <v>45872</v>
      </c>
      <c r="E840" s="8">
        <v>45747</v>
      </c>
    </row>
    <row r="841" spans="1:5" x14ac:dyDescent="0.25">
      <c r="A841" s="1" t="s">
        <v>831</v>
      </c>
      <c r="B841" s="8">
        <v>45540</v>
      </c>
      <c r="C841" s="8">
        <v>45472</v>
      </c>
      <c r="D841" s="8"/>
      <c r="E841" s="8"/>
    </row>
    <row r="842" spans="1:5" x14ac:dyDescent="0.25">
      <c r="A842" s="1" t="s">
        <v>832</v>
      </c>
      <c r="B842" s="8">
        <v>45948</v>
      </c>
      <c r="C842" s="8">
        <v>45803</v>
      </c>
      <c r="D842" s="8">
        <v>45449</v>
      </c>
      <c r="E842" s="8"/>
    </row>
    <row r="843" spans="1:5" x14ac:dyDescent="0.25">
      <c r="A843" s="1" t="s">
        <v>833</v>
      </c>
      <c r="B843" s="8">
        <v>46322</v>
      </c>
      <c r="C843" s="8">
        <v>46084</v>
      </c>
      <c r="D843" s="8">
        <v>45406</v>
      </c>
      <c r="E843" s="8"/>
    </row>
    <row r="844" spans="1:5" x14ac:dyDescent="0.25">
      <c r="A844" s="1" t="s">
        <v>837</v>
      </c>
      <c r="B844" s="8">
        <v>46255</v>
      </c>
      <c r="C844" s="8">
        <v>46059</v>
      </c>
      <c r="D844" s="8">
        <v>45893</v>
      </c>
      <c r="E844" s="8">
        <v>45700</v>
      </c>
    </row>
    <row r="845" spans="1:5" x14ac:dyDescent="0.25">
      <c r="A845" s="1" t="s">
        <v>836</v>
      </c>
      <c r="B845" s="8">
        <v>46259</v>
      </c>
      <c r="C845" s="8">
        <v>46059</v>
      </c>
      <c r="D845" s="8">
        <v>45892</v>
      </c>
      <c r="E845" s="8">
        <v>45700</v>
      </c>
    </row>
    <row r="846" spans="1:5" x14ac:dyDescent="0.25">
      <c r="A846" s="1" t="s">
        <v>834</v>
      </c>
      <c r="B846" s="8">
        <v>46255</v>
      </c>
      <c r="C846" s="8">
        <v>46059</v>
      </c>
      <c r="D846" s="8">
        <v>45892</v>
      </c>
      <c r="E846" s="8">
        <v>45700</v>
      </c>
    </row>
    <row r="847" spans="1:5" x14ac:dyDescent="0.25">
      <c r="A847" s="1" t="s">
        <v>838</v>
      </c>
      <c r="B847" s="8">
        <v>46255</v>
      </c>
      <c r="C847" s="8">
        <v>46059</v>
      </c>
      <c r="D847" s="8">
        <v>45892</v>
      </c>
      <c r="E847" s="8">
        <v>45700</v>
      </c>
    </row>
    <row r="848" spans="1:5" x14ac:dyDescent="0.25">
      <c r="A848" s="1" t="s">
        <v>835</v>
      </c>
      <c r="B848" s="8">
        <v>46259</v>
      </c>
      <c r="C848" s="8">
        <v>46059</v>
      </c>
      <c r="D848" s="8">
        <v>45892</v>
      </c>
      <c r="E848" s="8">
        <v>45700</v>
      </c>
    </row>
    <row r="849" spans="1:5" x14ac:dyDescent="0.25">
      <c r="A849" s="1" t="s">
        <v>839</v>
      </c>
      <c r="B849" s="8">
        <v>46183</v>
      </c>
      <c r="C849" s="8">
        <v>45939</v>
      </c>
      <c r="D849" s="8">
        <v>45729</v>
      </c>
      <c r="E849" s="8">
        <v>45582</v>
      </c>
    </row>
    <row r="850" spans="1:5" x14ac:dyDescent="0.25">
      <c r="A850" s="1" t="s">
        <v>840</v>
      </c>
      <c r="B850" s="8"/>
      <c r="C850" s="8"/>
      <c r="D850" s="8"/>
      <c r="E850" s="8"/>
    </row>
    <row r="851" spans="1:5" x14ac:dyDescent="0.25">
      <c r="A851" s="1" t="s">
        <v>842</v>
      </c>
      <c r="B851" s="8">
        <v>46181</v>
      </c>
      <c r="C851" s="8">
        <v>46073</v>
      </c>
      <c r="D851" s="8">
        <v>45889</v>
      </c>
      <c r="E851" s="8">
        <v>45708</v>
      </c>
    </row>
    <row r="852" spans="1:5" x14ac:dyDescent="0.25">
      <c r="A852" s="1" t="s">
        <v>841</v>
      </c>
      <c r="B852" s="8">
        <v>46109</v>
      </c>
      <c r="C852" s="8">
        <v>45955</v>
      </c>
      <c r="D852" s="8">
        <v>45532</v>
      </c>
      <c r="E852" s="8">
        <v>45350</v>
      </c>
    </row>
    <row r="853" spans="1:5" x14ac:dyDescent="0.25">
      <c r="A853" s="1" t="s">
        <v>845</v>
      </c>
      <c r="B853" s="8">
        <v>45520</v>
      </c>
      <c r="C853" s="8">
        <v>45381</v>
      </c>
      <c r="D853" s="8"/>
      <c r="E853" s="8"/>
    </row>
    <row r="854" spans="1:5" x14ac:dyDescent="0.25">
      <c r="A854" s="1" t="s">
        <v>844</v>
      </c>
      <c r="B854" s="8">
        <v>46168</v>
      </c>
      <c r="C854" s="8">
        <v>45745</v>
      </c>
      <c r="D854" s="8">
        <v>45587</v>
      </c>
      <c r="E854" s="8">
        <v>45553</v>
      </c>
    </row>
    <row r="855" spans="1:5" x14ac:dyDescent="0.25">
      <c r="A855" s="1" t="s">
        <v>843</v>
      </c>
      <c r="B855" s="8">
        <v>46276</v>
      </c>
      <c r="C855" s="8">
        <v>46112</v>
      </c>
      <c r="D855" s="8">
        <v>45959</v>
      </c>
      <c r="E855" s="8">
        <v>45520</v>
      </c>
    </row>
    <row r="856" spans="1:5" x14ac:dyDescent="0.25">
      <c r="A856" s="1" t="s">
        <v>846</v>
      </c>
      <c r="B856" s="8">
        <v>45892</v>
      </c>
      <c r="C856" s="8">
        <v>45701</v>
      </c>
      <c r="D856" s="8">
        <v>45546</v>
      </c>
      <c r="E856" s="8">
        <v>45309</v>
      </c>
    </row>
    <row r="857" spans="1:5" x14ac:dyDescent="0.25">
      <c r="A857" s="1" t="s">
        <v>847</v>
      </c>
      <c r="B857" s="8">
        <v>46245</v>
      </c>
      <c r="C857" s="8">
        <v>45894</v>
      </c>
      <c r="D857" s="8">
        <v>45752</v>
      </c>
      <c r="E857" s="8">
        <v>45560</v>
      </c>
    </row>
    <row r="858" spans="1:5" x14ac:dyDescent="0.25">
      <c r="A858" s="1" t="s">
        <v>848</v>
      </c>
      <c r="B858" s="8"/>
      <c r="C858" s="8"/>
      <c r="D858" s="8"/>
      <c r="E858" s="8"/>
    </row>
    <row r="859" spans="1:5" x14ac:dyDescent="0.25">
      <c r="A859" s="1" t="s">
        <v>850</v>
      </c>
      <c r="B859" s="8">
        <v>46193</v>
      </c>
      <c r="C859" s="8">
        <v>46011</v>
      </c>
      <c r="D859" s="8">
        <v>45500</v>
      </c>
      <c r="E859" s="8">
        <v>45372</v>
      </c>
    </row>
    <row r="860" spans="1:5" x14ac:dyDescent="0.25">
      <c r="A860" s="1" t="s">
        <v>849</v>
      </c>
      <c r="B860" s="8">
        <v>46219</v>
      </c>
      <c r="C860" s="8">
        <v>45996</v>
      </c>
      <c r="D860" s="8">
        <v>45509</v>
      </c>
      <c r="E860" s="8">
        <v>45356</v>
      </c>
    </row>
    <row r="861" spans="1:5" x14ac:dyDescent="0.25">
      <c r="A861" s="1" t="s">
        <v>851</v>
      </c>
      <c r="B861" s="8">
        <v>46155</v>
      </c>
      <c r="C861" s="8">
        <v>46014</v>
      </c>
      <c r="D861" s="8">
        <v>45840</v>
      </c>
      <c r="E861" s="8">
        <v>45779</v>
      </c>
    </row>
    <row r="862" spans="1:5" x14ac:dyDescent="0.25">
      <c r="A862" s="1" t="s">
        <v>852</v>
      </c>
      <c r="B862" s="8">
        <v>45862</v>
      </c>
      <c r="C862" s="8">
        <v>45694</v>
      </c>
      <c r="D862" s="8">
        <v>45553</v>
      </c>
      <c r="E862" s="8">
        <v>45455</v>
      </c>
    </row>
    <row r="863" spans="1:5" x14ac:dyDescent="0.25">
      <c r="A863" s="1" t="s">
        <v>853</v>
      </c>
      <c r="B863" s="8">
        <v>46138</v>
      </c>
      <c r="C863" s="8">
        <v>45982</v>
      </c>
      <c r="D863" s="8">
        <v>45478</v>
      </c>
      <c r="E863" s="8">
        <v>45349</v>
      </c>
    </row>
    <row r="864" spans="1:5" x14ac:dyDescent="0.25">
      <c r="A864" s="1" t="s">
        <v>854</v>
      </c>
      <c r="B864" s="8">
        <v>46219</v>
      </c>
      <c r="C864" s="8">
        <v>46057</v>
      </c>
      <c r="D864" s="8">
        <v>45929</v>
      </c>
      <c r="E864" s="8">
        <v>45734</v>
      </c>
    </row>
    <row r="865" spans="1:5" x14ac:dyDescent="0.25">
      <c r="A865" s="1" t="s">
        <v>855</v>
      </c>
      <c r="B865" s="8">
        <v>46155</v>
      </c>
      <c r="C865" s="8">
        <v>46017</v>
      </c>
      <c r="D865" s="8">
        <v>45897</v>
      </c>
      <c r="E865" s="8">
        <v>45737</v>
      </c>
    </row>
    <row r="866" spans="1:5" x14ac:dyDescent="0.25">
      <c r="A866" s="1" t="s">
        <v>857</v>
      </c>
      <c r="B866" s="8">
        <v>46273</v>
      </c>
      <c r="C866" s="8">
        <v>46137</v>
      </c>
      <c r="D866" s="8">
        <v>45861</v>
      </c>
      <c r="E866" s="8">
        <v>45737</v>
      </c>
    </row>
    <row r="867" spans="1:5" x14ac:dyDescent="0.25">
      <c r="A867" s="1" t="s">
        <v>856</v>
      </c>
      <c r="B867" s="8">
        <v>46223</v>
      </c>
      <c r="C867" s="8">
        <v>46052</v>
      </c>
      <c r="D867" s="8">
        <v>45509</v>
      </c>
      <c r="E867" s="8">
        <v>45355</v>
      </c>
    </row>
    <row r="868" spans="1:5" x14ac:dyDescent="0.25">
      <c r="A868" s="1" t="s">
        <v>860</v>
      </c>
      <c r="B868" s="8">
        <v>46240</v>
      </c>
      <c r="C868" s="8">
        <v>45931</v>
      </c>
      <c r="D868" s="8">
        <v>45699</v>
      </c>
      <c r="E868" s="8">
        <v>45527</v>
      </c>
    </row>
    <row r="869" spans="1:5" x14ac:dyDescent="0.25">
      <c r="A869" s="1" t="s">
        <v>858</v>
      </c>
      <c r="B869" s="8">
        <v>46246</v>
      </c>
      <c r="C869" s="8">
        <v>46046</v>
      </c>
      <c r="D869" s="8">
        <v>45876</v>
      </c>
      <c r="E869" s="8">
        <v>45643</v>
      </c>
    </row>
    <row r="870" spans="1:5" x14ac:dyDescent="0.25">
      <c r="A870" s="1" t="s">
        <v>861</v>
      </c>
      <c r="B870" s="8">
        <v>45470</v>
      </c>
      <c r="C870" s="8">
        <v>45351</v>
      </c>
      <c r="D870" s="8"/>
      <c r="E870" s="8"/>
    </row>
    <row r="871" spans="1:5" x14ac:dyDescent="0.25">
      <c r="A871" s="1" t="s">
        <v>859</v>
      </c>
      <c r="B871" s="8">
        <v>46219</v>
      </c>
      <c r="C871" s="8">
        <v>46051</v>
      </c>
      <c r="D871" s="8">
        <v>45811</v>
      </c>
      <c r="E871" s="8">
        <v>45706</v>
      </c>
    </row>
    <row r="872" spans="1:5" x14ac:dyDescent="0.25">
      <c r="A872" s="1" t="s">
        <v>863</v>
      </c>
      <c r="B872" s="8">
        <v>45899</v>
      </c>
      <c r="C872" s="8">
        <v>45717</v>
      </c>
      <c r="D872" s="8">
        <v>45517</v>
      </c>
      <c r="E872" s="8">
        <v>45352</v>
      </c>
    </row>
    <row r="873" spans="1:5" x14ac:dyDescent="0.25">
      <c r="A873" s="1" t="s">
        <v>862</v>
      </c>
      <c r="B873" s="8">
        <v>46265</v>
      </c>
      <c r="C873" s="8">
        <v>45678</v>
      </c>
      <c r="D873" s="8">
        <v>45537</v>
      </c>
      <c r="E873" s="8">
        <v>45359</v>
      </c>
    </row>
    <row r="874" spans="1:5" x14ac:dyDescent="0.25">
      <c r="A874" s="1" t="s">
        <v>864</v>
      </c>
      <c r="B874" s="8">
        <v>45862</v>
      </c>
      <c r="C874" s="8">
        <v>45694</v>
      </c>
      <c r="D874" s="8">
        <v>45553</v>
      </c>
      <c r="E874" s="8">
        <v>45455</v>
      </c>
    </row>
    <row r="875" spans="1:5" x14ac:dyDescent="0.25">
      <c r="A875" s="1" t="s">
        <v>865</v>
      </c>
      <c r="B875" s="8">
        <v>46172</v>
      </c>
      <c r="C875" s="8">
        <v>45966</v>
      </c>
      <c r="D875" s="8">
        <v>45406</v>
      </c>
      <c r="E875" s="8"/>
    </row>
    <row r="876" spans="1:5" x14ac:dyDescent="0.25">
      <c r="A876" s="1" t="s">
        <v>866</v>
      </c>
      <c r="B876" s="8">
        <v>46059</v>
      </c>
      <c r="C876" s="8">
        <v>45866</v>
      </c>
      <c r="D876" s="8">
        <v>45615</v>
      </c>
      <c r="E876" s="8">
        <v>45320</v>
      </c>
    </row>
    <row r="877" spans="1:5" x14ac:dyDescent="0.25">
      <c r="A877" s="1" t="s">
        <v>867</v>
      </c>
      <c r="B877" s="8">
        <v>46269</v>
      </c>
      <c r="C877" s="8">
        <v>46150</v>
      </c>
      <c r="D877" s="8">
        <v>45854</v>
      </c>
      <c r="E877" s="8">
        <v>45644</v>
      </c>
    </row>
    <row r="878" spans="1:5" x14ac:dyDescent="0.25">
      <c r="A878" s="1" t="s">
        <v>868</v>
      </c>
      <c r="B878" s="8">
        <v>46100</v>
      </c>
      <c r="C878" s="8">
        <v>45907</v>
      </c>
      <c r="D878" s="8">
        <v>45744</v>
      </c>
      <c r="E878" s="8">
        <v>45566</v>
      </c>
    </row>
    <row r="879" spans="1:5" x14ac:dyDescent="0.25">
      <c r="A879" s="1" t="s">
        <v>871</v>
      </c>
      <c r="B879" s="8">
        <v>46237</v>
      </c>
      <c r="C879" s="8">
        <v>46058</v>
      </c>
      <c r="D879" s="8">
        <v>45908</v>
      </c>
      <c r="E879" s="8">
        <v>45691</v>
      </c>
    </row>
    <row r="880" spans="1:5" x14ac:dyDescent="0.25">
      <c r="A880" s="1" t="s">
        <v>870</v>
      </c>
      <c r="B880" s="8">
        <v>46314</v>
      </c>
      <c r="C880" s="8">
        <v>46195</v>
      </c>
      <c r="D880" s="8">
        <v>46074</v>
      </c>
      <c r="E880" s="8">
        <v>45920</v>
      </c>
    </row>
    <row r="881" spans="1:5" x14ac:dyDescent="0.25">
      <c r="A881" s="1" t="s">
        <v>869</v>
      </c>
      <c r="B881" s="8">
        <v>46237</v>
      </c>
      <c r="C881" s="8">
        <v>46058</v>
      </c>
      <c r="D881" s="8">
        <v>45908</v>
      </c>
      <c r="E881" s="8">
        <v>45691</v>
      </c>
    </row>
    <row r="882" spans="1:5" x14ac:dyDescent="0.25">
      <c r="A882" s="1" t="s">
        <v>872</v>
      </c>
      <c r="B882" s="8">
        <v>46055</v>
      </c>
      <c r="C882" s="8">
        <v>45938</v>
      </c>
      <c r="D882" s="8">
        <v>45413</v>
      </c>
      <c r="E882" s="8"/>
    </row>
    <row r="883" spans="1:5" x14ac:dyDescent="0.25">
      <c r="A883" s="1" t="s">
        <v>873</v>
      </c>
      <c r="B883" s="8">
        <v>46202</v>
      </c>
      <c r="C883" s="8">
        <v>46000</v>
      </c>
      <c r="D883" s="8">
        <v>45506</v>
      </c>
      <c r="E883" s="8">
        <v>45364</v>
      </c>
    </row>
    <row r="884" spans="1:5" x14ac:dyDescent="0.25">
      <c r="A884" s="1" t="s">
        <v>874</v>
      </c>
      <c r="B884" s="8">
        <v>46192</v>
      </c>
      <c r="C884" s="8">
        <v>45782</v>
      </c>
      <c r="D884" s="8">
        <v>45631</v>
      </c>
      <c r="E884" s="8">
        <v>45458</v>
      </c>
    </row>
    <row r="885" spans="1:5" x14ac:dyDescent="0.25">
      <c r="A885" s="1" t="s">
        <v>875</v>
      </c>
      <c r="B885" s="8">
        <v>46217</v>
      </c>
      <c r="C885" s="8">
        <v>46051</v>
      </c>
      <c r="D885" s="8">
        <v>45906</v>
      </c>
      <c r="E885" s="8">
        <v>45782</v>
      </c>
    </row>
    <row r="886" spans="1:5" x14ac:dyDescent="0.25">
      <c r="A886" s="1" t="s">
        <v>877</v>
      </c>
      <c r="B886" s="8">
        <v>46189</v>
      </c>
      <c r="C886" s="8">
        <v>46071</v>
      </c>
      <c r="D886" s="8">
        <v>45855</v>
      </c>
      <c r="E886" s="8">
        <v>45707</v>
      </c>
    </row>
    <row r="887" spans="1:5" x14ac:dyDescent="0.25">
      <c r="A887" s="1" t="s">
        <v>876</v>
      </c>
      <c r="B887" s="8">
        <v>46156</v>
      </c>
      <c r="C887" s="8">
        <v>46051</v>
      </c>
      <c r="D887" s="8">
        <v>45825</v>
      </c>
      <c r="E887" s="8">
        <v>45625</v>
      </c>
    </row>
    <row r="888" spans="1:5" x14ac:dyDescent="0.25">
      <c r="A888" s="1" t="s">
        <v>878</v>
      </c>
      <c r="B888" s="8">
        <v>46191</v>
      </c>
      <c r="C888" s="8">
        <v>46070</v>
      </c>
      <c r="D888" s="8">
        <v>45855</v>
      </c>
      <c r="E888" s="8">
        <v>45707</v>
      </c>
    </row>
    <row r="889" spans="1:5" x14ac:dyDescent="0.25">
      <c r="A889" s="1" t="s">
        <v>879</v>
      </c>
      <c r="B889" s="8">
        <v>46225</v>
      </c>
      <c r="C889" s="8">
        <v>46070</v>
      </c>
      <c r="D889" s="8">
        <v>45855</v>
      </c>
      <c r="E889" s="8">
        <v>45707</v>
      </c>
    </row>
    <row r="890" spans="1:5" x14ac:dyDescent="0.25">
      <c r="A890" s="1" t="s">
        <v>884</v>
      </c>
      <c r="B890" s="8">
        <v>46135</v>
      </c>
      <c r="C890" s="8">
        <v>46035</v>
      </c>
      <c r="D890" s="8">
        <v>45819</v>
      </c>
      <c r="E890" s="8">
        <v>45663</v>
      </c>
    </row>
    <row r="891" spans="1:5" x14ac:dyDescent="0.25">
      <c r="A891" s="1" t="s">
        <v>885</v>
      </c>
      <c r="B891" s="8">
        <v>45470</v>
      </c>
      <c r="C891" s="8">
        <v>45351</v>
      </c>
      <c r="D891" s="8"/>
      <c r="E891" s="8"/>
    </row>
    <row r="892" spans="1:5" x14ac:dyDescent="0.25">
      <c r="A892" s="1" t="s">
        <v>881</v>
      </c>
      <c r="B892" s="8">
        <v>46183</v>
      </c>
      <c r="C892" s="8">
        <v>46012</v>
      </c>
      <c r="D892" s="8">
        <v>45386</v>
      </c>
      <c r="E892" s="8"/>
    </row>
    <row r="893" spans="1:5" x14ac:dyDescent="0.25">
      <c r="A893" s="1" t="s">
        <v>883</v>
      </c>
      <c r="B893" s="8">
        <v>46204</v>
      </c>
      <c r="C893" s="8">
        <v>46030</v>
      </c>
      <c r="D893" s="8">
        <v>45842</v>
      </c>
      <c r="E893" s="8">
        <v>45687</v>
      </c>
    </row>
    <row r="894" spans="1:5" x14ac:dyDescent="0.25">
      <c r="A894" s="1" t="s">
        <v>880</v>
      </c>
      <c r="B894" s="8">
        <v>46135</v>
      </c>
      <c r="C894" s="8">
        <v>45978</v>
      </c>
      <c r="D894" s="8">
        <v>45819</v>
      </c>
      <c r="E894" s="8">
        <v>45477</v>
      </c>
    </row>
    <row r="895" spans="1:5" x14ac:dyDescent="0.25">
      <c r="A895" s="1" t="s">
        <v>882</v>
      </c>
      <c r="B895" s="8">
        <v>46118</v>
      </c>
      <c r="C895" s="8">
        <v>45856</v>
      </c>
      <c r="D895" s="8">
        <v>45688</v>
      </c>
      <c r="E895" s="8">
        <v>45359</v>
      </c>
    </row>
    <row r="896" spans="1:5" x14ac:dyDescent="0.25">
      <c r="A896" s="1" t="s">
        <v>886</v>
      </c>
      <c r="B896" s="8">
        <v>45471</v>
      </c>
      <c r="C896" s="8">
        <v>45316</v>
      </c>
      <c r="D896" s="8"/>
      <c r="E896" s="8"/>
    </row>
    <row r="897" spans="1:5" x14ac:dyDescent="0.25">
      <c r="A897" s="1" t="s">
        <v>889</v>
      </c>
      <c r="B897" s="8">
        <v>45502</v>
      </c>
      <c r="C897" s="8">
        <v>45338</v>
      </c>
      <c r="D897" s="8"/>
      <c r="E897" s="8"/>
    </row>
    <row r="898" spans="1:5" x14ac:dyDescent="0.25">
      <c r="A898" s="1" t="s">
        <v>887</v>
      </c>
      <c r="B898" s="8">
        <v>46217</v>
      </c>
      <c r="C898" s="8">
        <v>46006</v>
      </c>
      <c r="D898" s="8">
        <v>45845</v>
      </c>
      <c r="E898" s="8">
        <v>45463</v>
      </c>
    </row>
    <row r="899" spans="1:5" x14ac:dyDescent="0.25">
      <c r="A899" s="1" t="s">
        <v>888</v>
      </c>
      <c r="B899" s="8">
        <v>46178</v>
      </c>
      <c r="C899" s="8">
        <v>46044</v>
      </c>
      <c r="D899" s="8">
        <v>45833</v>
      </c>
      <c r="E899" s="8">
        <v>45675</v>
      </c>
    </row>
    <row r="900" spans="1:5" x14ac:dyDescent="0.25">
      <c r="A900" s="1" t="s">
        <v>890</v>
      </c>
      <c r="B900" s="8">
        <v>45714</v>
      </c>
      <c r="C900" s="8">
        <v>45496</v>
      </c>
      <c r="D900" s="8">
        <v>45321</v>
      </c>
      <c r="E900" s="8"/>
    </row>
    <row r="901" spans="1:5" x14ac:dyDescent="0.25">
      <c r="A901" s="1" t="s">
        <v>891</v>
      </c>
      <c r="B901" s="8">
        <v>45714</v>
      </c>
      <c r="C901" s="8">
        <v>45516</v>
      </c>
      <c r="D901" s="8">
        <v>45321</v>
      </c>
      <c r="E901" s="8"/>
    </row>
    <row r="902" spans="1:5" x14ac:dyDescent="0.25">
      <c r="A902" s="1" t="s">
        <v>892</v>
      </c>
      <c r="B902" s="8">
        <v>45964</v>
      </c>
      <c r="C902" s="8">
        <v>45680</v>
      </c>
      <c r="D902" s="8">
        <v>45506</v>
      </c>
      <c r="E902" s="8">
        <v>45378</v>
      </c>
    </row>
    <row r="903" spans="1:5" x14ac:dyDescent="0.25">
      <c r="A903" s="1" t="s">
        <v>894</v>
      </c>
      <c r="B903" s="8">
        <v>45568</v>
      </c>
      <c r="C903" s="8">
        <v>45393</v>
      </c>
      <c r="D903" s="8"/>
      <c r="E903" s="8"/>
    </row>
    <row r="904" spans="1:5" x14ac:dyDescent="0.25">
      <c r="A904" s="1" t="s">
        <v>893</v>
      </c>
      <c r="B904" s="8"/>
      <c r="C904" s="8"/>
      <c r="D904" s="8"/>
      <c r="E904" s="8"/>
    </row>
    <row r="905" spans="1:5" x14ac:dyDescent="0.25">
      <c r="A905" s="1" t="s">
        <v>895</v>
      </c>
      <c r="B905" s="8">
        <v>46246</v>
      </c>
      <c r="C905" s="8">
        <v>46044</v>
      </c>
      <c r="D905" s="8">
        <v>45912</v>
      </c>
      <c r="E905" s="8">
        <v>45886</v>
      </c>
    </row>
    <row r="906" spans="1:5" x14ac:dyDescent="0.25">
      <c r="A906" s="1" t="s">
        <v>896</v>
      </c>
      <c r="B906" s="8">
        <v>46196</v>
      </c>
      <c r="C906" s="8">
        <v>46107</v>
      </c>
      <c r="D906" s="8">
        <v>45364</v>
      </c>
      <c r="E906" s="8"/>
    </row>
    <row r="907" spans="1:5" x14ac:dyDescent="0.25">
      <c r="A907" s="1" t="s">
        <v>898</v>
      </c>
      <c r="B907" s="8">
        <v>46064</v>
      </c>
      <c r="C907" s="8">
        <v>45869</v>
      </c>
      <c r="D907" s="8">
        <v>45717</v>
      </c>
      <c r="E907" s="8">
        <v>45457</v>
      </c>
    </row>
    <row r="908" spans="1:5" x14ac:dyDescent="0.25">
      <c r="A908" s="1" t="s">
        <v>900</v>
      </c>
      <c r="B908" s="8">
        <v>46233</v>
      </c>
      <c r="C908" s="8">
        <v>46070</v>
      </c>
      <c r="D908" s="8">
        <v>45371</v>
      </c>
      <c r="E908" s="8"/>
    </row>
    <row r="909" spans="1:5" x14ac:dyDescent="0.25">
      <c r="A909" s="1" t="s">
        <v>897</v>
      </c>
      <c r="B909" s="8">
        <v>46112</v>
      </c>
      <c r="C909" s="8">
        <v>45869</v>
      </c>
      <c r="D909" s="8">
        <v>45678</v>
      </c>
      <c r="E909" s="8">
        <v>45457</v>
      </c>
    </row>
    <row r="910" spans="1:5" x14ac:dyDescent="0.25">
      <c r="A910" s="1" t="s">
        <v>899</v>
      </c>
      <c r="B910" s="8">
        <v>45373</v>
      </c>
      <c r="C910" s="8"/>
      <c r="D910" s="8"/>
      <c r="E910" s="8"/>
    </row>
    <row r="911" spans="1:5" x14ac:dyDescent="0.25">
      <c r="A911" s="1" t="s">
        <v>901</v>
      </c>
      <c r="B911" s="8">
        <v>46254</v>
      </c>
      <c r="C911" s="8">
        <v>45910</v>
      </c>
      <c r="D911" s="8">
        <v>45751</v>
      </c>
      <c r="E911" s="8">
        <v>45491</v>
      </c>
    </row>
    <row r="912" spans="1:5" x14ac:dyDescent="0.25">
      <c r="A912" s="1" t="s">
        <v>902</v>
      </c>
      <c r="B912" s="8">
        <v>46097</v>
      </c>
      <c r="C912" s="8">
        <v>45355</v>
      </c>
      <c r="D912" s="8"/>
      <c r="E912" s="8"/>
    </row>
    <row r="913" spans="1:5" x14ac:dyDescent="0.25">
      <c r="A913" s="1" t="s">
        <v>903</v>
      </c>
      <c r="B913" s="8">
        <v>46223</v>
      </c>
      <c r="C913" s="8">
        <v>46030</v>
      </c>
      <c r="D913" s="8">
        <v>45503</v>
      </c>
      <c r="E913" s="8">
        <v>45364</v>
      </c>
    </row>
    <row r="914" spans="1:5" x14ac:dyDescent="0.25">
      <c r="A914" s="1" t="s">
        <v>904</v>
      </c>
      <c r="B914" s="8">
        <v>46321</v>
      </c>
      <c r="C914" s="8">
        <v>46099</v>
      </c>
      <c r="D914" s="8">
        <v>45855</v>
      </c>
      <c r="E914" s="8">
        <v>45687</v>
      </c>
    </row>
    <row r="915" spans="1:5" x14ac:dyDescent="0.25">
      <c r="A915" s="1" t="s">
        <v>905</v>
      </c>
      <c r="B915" s="8">
        <v>46169</v>
      </c>
      <c r="C915" s="8">
        <v>46154</v>
      </c>
      <c r="D915" s="8">
        <v>46080</v>
      </c>
      <c r="E915" s="8">
        <v>45840</v>
      </c>
    </row>
    <row r="916" spans="1:5" x14ac:dyDescent="0.25">
      <c r="A916" s="1" t="s">
        <v>906</v>
      </c>
      <c r="B916" s="8">
        <v>46266</v>
      </c>
      <c r="C916" s="8">
        <v>46057</v>
      </c>
      <c r="D916" s="8">
        <v>45862</v>
      </c>
      <c r="E916" s="8">
        <v>45755</v>
      </c>
    </row>
    <row r="917" spans="1:5" x14ac:dyDescent="0.25">
      <c r="A917" s="1" t="s">
        <v>907</v>
      </c>
      <c r="B917" s="8">
        <v>46199</v>
      </c>
      <c r="C917" s="8">
        <v>46140</v>
      </c>
      <c r="D917" s="8">
        <v>45861</v>
      </c>
      <c r="E917" s="8">
        <v>45714</v>
      </c>
    </row>
    <row r="918" spans="1:5" x14ac:dyDescent="0.25">
      <c r="A918" s="1" t="s">
        <v>908</v>
      </c>
      <c r="B918" s="8">
        <v>45421</v>
      </c>
      <c r="C918" s="8">
        <v>45262</v>
      </c>
      <c r="D918" s="8"/>
      <c r="E918" s="8"/>
    </row>
    <row r="919" spans="1:5" x14ac:dyDescent="0.25">
      <c r="A919" s="1" t="s">
        <v>909</v>
      </c>
      <c r="B919" s="8">
        <v>46148</v>
      </c>
      <c r="C919" s="8">
        <v>46001</v>
      </c>
      <c r="D919" s="8">
        <v>45818</v>
      </c>
      <c r="E919" s="8">
        <v>45711</v>
      </c>
    </row>
    <row r="920" spans="1:5" x14ac:dyDescent="0.25">
      <c r="A920" s="1" t="s">
        <v>910</v>
      </c>
      <c r="B920" s="8">
        <v>46184</v>
      </c>
      <c r="C920" s="8">
        <v>46044</v>
      </c>
      <c r="D920" s="8">
        <v>45805</v>
      </c>
      <c r="E920" s="8">
        <v>45645</v>
      </c>
    </row>
    <row r="921" spans="1:5" x14ac:dyDescent="0.25">
      <c r="A921" s="1" t="s">
        <v>911</v>
      </c>
      <c r="B921" s="8">
        <v>45855</v>
      </c>
      <c r="C921" s="8">
        <v>45649</v>
      </c>
      <c r="D921" s="8">
        <v>45463</v>
      </c>
      <c r="E921" s="8">
        <v>45314</v>
      </c>
    </row>
    <row r="922" spans="1:5" x14ac:dyDescent="0.25">
      <c r="A922" s="1" t="s">
        <v>912</v>
      </c>
      <c r="B922" s="8">
        <v>46150</v>
      </c>
      <c r="C922" s="8">
        <v>46063</v>
      </c>
      <c r="D922" s="8">
        <v>45349</v>
      </c>
      <c r="E922" s="8"/>
    </row>
    <row r="923" spans="1:5" x14ac:dyDescent="0.25">
      <c r="A923" s="1" t="s">
        <v>913</v>
      </c>
      <c r="B923" s="8">
        <v>46233</v>
      </c>
      <c r="C923" s="8">
        <v>46031</v>
      </c>
      <c r="D923" s="8">
        <v>45814</v>
      </c>
      <c r="E923" s="8">
        <v>45643</v>
      </c>
    </row>
    <row r="924" spans="1:5" x14ac:dyDescent="0.25">
      <c r="A924" s="1" t="s">
        <v>914</v>
      </c>
      <c r="B924" s="8">
        <v>46233</v>
      </c>
      <c r="C924" s="8">
        <v>46070</v>
      </c>
      <c r="D924" s="8">
        <v>45946</v>
      </c>
      <c r="E924" s="8">
        <v>45646</v>
      </c>
    </row>
    <row r="925" spans="1:5" x14ac:dyDescent="0.25">
      <c r="A925" s="1" t="s">
        <v>915</v>
      </c>
      <c r="B925" s="8">
        <v>46325</v>
      </c>
      <c r="C925" s="8">
        <v>46108</v>
      </c>
      <c r="D925" s="8">
        <v>45811</v>
      </c>
      <c r="E925" s="8">
        <v>45719</v>
      </c>
    </row>
    <row r="926" spans="1:5" x14ac:dyDescent="0.25">
      <c r="A926" s="1" t="s">
        <v>916</v>
      </c>
      <c r="B926" s="8">
        <v>45809</v>
      </c>
      <c r="C926" s="8">
        <v>45581</v>
      </c>
      <c r="D926" s="8">
        <v>45442</v>
      </c>
      <c r="E926" s="8">
        <v>45260</v>
      </c>
    </row>
    <row r="927" spans="1:5" x14ac:dyDescent="0.25">
      <c r="A927" s="1" t="s">
        <v>917</v>
      </c>
      <c r="B927" s="8">
        <v>45359</v>
      </c>
      <c r="C927" s="8"/>
      <c r="D927" s="8"/>
      <c r="E927" s="8"/>
    </row>
    <row r="928" spans="1:5" x14ac:dyDescent="0.25">
      <c r="A928" s="1" t="s">
        <v>918</v>
      </c>
      <c r="B928" s="8">
        <v>45811</v>
      </c>
      <c r="C928" s="8">
        <v>45632</v>
      </c>
      <c r="D928" s="8">
        <v>45421</v>
      </c>
      <c r="E928" s="8">
        <v>45271</v>
      </c>
    </row>
    <row r="929" spans="1:5" x14ac:dyDescent="0.25">
      <c r="A929" s="1" t="s">
        <v>919</v>
      </c>
      <c r="B929" s="8">
        <v>45776</v>
      </c>
      <c r="C929" s="8">
        <v>45551</v>
      </c>
      <c r="D929" s="8">
        <v>45269</v>
      </c>
      <c r="E929" s="8"/>
    </row>
    <row r="930" spans="1:5" x14ac:dyDescent="0.25">
      <c r="A930" s="1" t="s">
        <v>920</v>
      </c>
      <c r="B930" s="8">
        <v>45427</v>
      </c>
      <c r="C930" s="8">
        <v>45220</v>
      </c>
      <c r="D930" s="8"/>
      <c r="E930" s="8"/>
    </row>
    <row r="931" spans="1:5" x14ac:dyDescent="0.25">
      <c r="A931" s="1" t="s">
        <v>921</v>
      </c>
      <c r="B931" s="8">
        <v>46147</v>
      </c>
      <c r="C931" s="8">
        <v>46017</v>
      </c>
      <c r="D931" s="8">
        <v>45757</v>
      </c>
      <c r="E931" s="8">
        <v>45600</v>
      </c>
    </row>
    <row r="932" spans="1:5" x14ac:dyDescent="0.25">
      <c r="A932" s="1" t="s">
        <v>922</v>
      </c>
      <c r="B932" s="8">
        <v>46147</v>
      </c>
      <c r="C932" s="8">
        <v>46017</v>
      </c>
      <c r="D932" s="8">
        <v>45757</v>
      </c>
      <c r="E932" s="8">
        <v>45546</v>
      </c>
    </row>
    <row r="933" spans="1:5" x14ac:dyDescent="0.25">
      <c r="A933" s="1" t="s">
        <v>923</v>
      </c>
      <c r="B933" s="8">
        <v>45819</v>
      </c>
      <c r="C933" s="8">
        <v>45737</v>
      </c>
      <c r="D933" s="8">
        <v>45623</v>
      </c>
      <c r="E933" s="8">
        <v>45461</v>
      </c>
    </row>
    <row r="934" spans="1:5" x14ac:dyDescent="0.25">
      <c r="A934" s="1" t="s">
        <v>924</v>
      </c>
      <c r="B934" s="8">
        <v>46162</v>
      </c>
      <c r="C934" s="8">
        <v>45983</v>
      </c>
      <c r="D934" s="8">
        <v>45785</v>
      </c>
      <c r="E934" s="8">
        <v>45604</v>
      </c>
    </row>
    <row r="935" spans="1:5" x14ac:dyDescent="0.25">
      <c r="A935" s="1" t="s">
        <v>925</v>
      </c>
      <c r="B935" s="8">
        <v>46181</v>
      </c>
      <c r="C935" s="8">
        <v>46108</v>
      </c>
      <c r="D935" s="8">
        <v>45940</v>
      </c>
      <c r="E935" s="8">
        <v>45582</v>
      </c>
    </row>
    <row r="936" spans="1:5" x14ac:dyDescent="0.25">
      <c r="A936" s="1" t="s">
        <v>926</v>
      </c>
      <c r="B936" s="8">
        <v>46325</v>
      </c>
      <c r="C936" s="8">
        <v>46108</v>
      </c>
      <c r="D936" s="8">
        <v>45961</v>
      </c>
      <c r="E936" s="8">
        <v>45811</v>
      </c>
    </row>
    <row r="937" spans="1:5" x14ac:dyDescent="0.25">
      <c r="A937" s="1" t="s">
        <v>927</v>
      </c>
      <c r="B937" s="8">
        <v>46193</v>
      </c>
      <c r="C937" s="8">
        <v>45961</v>
      </c>
      <c r="D937" s="8">
        <v>45757</v>
      </c>
      <c r="E937" s="8">
        <v>45566</v>
      </c>
    </row>
    <row r="938" spans="1:5" x14ac:dyDescent="0.25">
      <c r="A938" s="1" t="s">
        <v>928</v>
      </c>
      <c r="B938" s="8">
        <v>45414</v>
      </c>
      <c r="C938" s="8">
        <v>45208</v>
      </c>
      <c r="D938" s="8"/>
      <c r="E938" s="8"/>
    </row>
    <row r="939" spans="1:5" x14ac:dyDescent="0.25">
      <c r="A939" s="1" t="s">
        <v>929</v>
      </c>
      <c r="B939" s="8">
        <v>46093</v>
      </c>
      <c r="C939" s="8">
        <v>45926</v>
      </c>
      <c r="D939" s="8">
        <v>45374</v>
      </c>
      <c r="E939" s="8">
        <v>45258</v>
      </c>
    </row>
    <row r="940" spans="1:5" x14ac:dyDescent="0.25">
      <c r="A940" s="1" t="s">
        <v>930</v>
      </c>
      <c r="B940" s="8">
        <v>45415</v>
      </c>
      <c r="C940" s="8">
        <v>45230</v>
      </c>
      <c r="D940" s="8"/>
      <c r="E940" s="8"/>
    </row>
    <row r="941" spans="1:5" x14ac:dyDescent="0.25">
      <c r="A941" s="1" t="s">
        <v>931</v>
      </c>
      <c r="B941" s="8">
        <v>46136</v>
      </c>
      <c r="C941" s="8">
        <v>45958</v>
      </c>
      <c r="D941" s="8">
        <v>45803</v>
      </c>
      <c r="E941" s="8">
        <v>45584</v>
      </c>
    </row>
    <row r="942" spans="1:5" x14ac:dyDescent="0.25">
      <c r="A942" s="1" t="s">
        <v>932</v>
      </c>
      <c r="B942" s="8">
        <v>45843</v>
      </c>
      <c r="C942" s="8">
        <v>45593</v>
      </c>
      <c r="D942" s="8">
        <v>45371</v>
      </c>
      <c r="E942" s="8">
        <v>45258</v>
      </c>
    </row>
    <row r="943" spans="1:5" x14ac:dyDescent="0.25">
      <c r="A943" s="1" t="s">
        <v>933</v>
      </c>
      <c r="B943" s="8">
        <v>46190</v>
      </c>
      <c r="C943" s="8">
        <v>46088</v>
      </c>
      <c r="D943" s="8">
        <v>45843</v>
      </c>
      <c r="E943" s="8">
        <v>45622</v>
      </c>
    </row>
    <row r="944" spans="1:5" x14ac:dyDescent="0.25">
      <c r="A944" s="1" t="s">
        <v>934</v>
      </c>
      <c r="B944" s="8">
        <v>46206</v>
      </c>
      <c r="C944" s="8">
        <v>46030</v>
      </c>
      <c r="D944" s="8">
        <v>45390</v>
      </c>
      <c r="E944" s="8">
        <v>45233</v>
      </c>
    </row>
    <row r="945" spans="1:5" x14ac:dyDescent="0.25">
      <c r="A945" s="1" t="s">
        <v>935</v>
      </c>
      <c r="B945" s="8">
        <v>46099</v>
      </c>
      <c r="C945" s="8">
        <v>46092</v>
      </c>
      <c r="D945" s="8"/>
      <c r="E945" s="8"/>
    </row>
    <row r="946" spans="1:5" x14ac:dyDescent="0.25">
      <c r="A946" s="1" t="s">
        <v>936</v>
      </c>
      <c r="B946" s="8">
        <v>45203</v>
      </c>
      <c r="C946" s="8"/>
      <c r="D946" s="8"/>
      <c r="E946" s="8"/>
    </row>
    <row r="947" spans="1:5" x14ac:dyDescent="0.25">
      <c r="A947" s="1" t="s">
        <v>937</v>
      </c>
      <c r="B947" s="8">
        <v>46204</v>
      </c>
      <c r="C947" s="8">
        <v>46018</v>
      </c>
      <c r="D947" s="8">
        <v>45862</v>
      </c>
      <c r="E947" s="8">
        <v>45209</v>
      </c>
    </row>
    <row r="948" spans="1:5" x14ac:dyDescent="0.25">
      <c r="A948" s="1" t="s">
        <v>938</v>
      </c>
      <c r="B948" s="8">
        <v>46217</v>
      </c>
      <c r="C948" s="8">
        <v>46050</v>
      </c>
      <c r="D948" s="8">
        <v>45370</v>
      </c>
      <c r="E948" s="8">
        <v>45208</v>
      </c>
    </row>
    <row r="949" spans="1:5" x14ac:dyDescent="0.25">
      <c r="A949" s="1" t="s">
        <v>939</v>
      </c>
      <c r="B949" s="8">
        <v>46155</v>
      </c>
      <c r="C949" s="8">
        <v>46069</v>
      </c>
      <c r="D949" s="8">
        <v>45378</v>
      </c>
      <c r="E949" s="8">
        <v>45239</v>
      </c>
    </row>
    <row r="950" spans="1:5" x14ac:dyDescent="0.25">
      <c r="A950" s="1" t="s">
        <v>940</v>
      </c>
      <c r="B950" s="8">
        <v>46240</v>
      </c>
      <c r="C950" s="8">
        <v>46083</v>
      </c>
      <c r="D950" s="8">
        <v>45892</v>
      </c>
      <c r="E950" s="8">
        <v>45754</v>
      </c>
    </row>
    <row r="951" spans="1:5" x14ac:dyDescent="0.25">
      <c r="A951" s="1" t="s">
        <v>941</v>
      </c>
      <c r="B951" s="8">
        <v>46172</v>
      </c>
      <c r="C951" s="8">
        <v>45892</v>
      </c>
      <c r="D951" s="8">
        <v>45772</v>
      </c>
      <c r="E951" s="8">
        <v>45563</v>
      </c>
    </row>
    <row r="952" spans="1:5" x14ac:dyDescent="0.25">
      <c r="A952" s="1" t="s">
        <v>942</v>
      </c>
      <c r="B952" s="8">
        <v>46218</v>
      </c>
      <c r="C952" s="8">
        <v>46052</v>
      </c>
      <c r="D952" s="8">
        <v>45918</v>
      </c>
      <c r="E952" s="8">
        <v>45754</v>
      </c>
    </row>
    <row r="953" spans="1:5" x14ac:dyDescent="0.25">
      <c r="A953" s="1" t="s">
        <v>943</v>
      </c>
      <c r="B953" s="8">
        <v>46274</v>
      </c>
      <c r="C953" s="8">
        <v>46114</v>
      </c>
      <c r="D953" s="8">
        <v>45945</v>
      </c>
      <c r="E953" s="8">
        <v>45719</v>
      </c>
    </row>
    <row r="954" spans="1:5" x14ac:dyDescent="0.25">
      <c r="A954" s="1" t="s">
        <v>945</v>
      </c>
      <c r="B954" s="8">
        <v>45754</v>
      </c>
      <c r="C954" s="8">
        <v>45560</v>
      </c>
      <c r="D954" s="8">
        <v>45372</v>
      </c>
      <c r="E954" s="8">
        <v>45198</v>
      </c>
    </row>
    <row r="955" spans="1:5" x14ac:dyDescent="0.25">
      <c r="A955" s="1" t="s">
        <v>946</v>
      </c>
      <c r="B955" s="8">
        <v>46183</v>
      </c>
      <c r="C955" s="8">
        <v>46039</v>
      </c>
      <c r="D955" s="8">
        <v>45808</v>
      </c>
      <c r="E955" s="8">
        <v>45804</v>
      </c>
    </row>
    <row r="956" spans="1:5" x14ac:dyDescent="0.25">
      <c r="A956" s="1" t="s">
        <v>944</v>
      </c>
      <c r="B956" s="8">
        <v>45369</v>
      </c>
      <c r="C956" s="8">
        <v>45202</v>
      </c>
      <c r="D956" s="8"/>
      <c r="E956" s="8"/>
    </row>
    <row r="957" spans="1:5" x14ac:dyDescent="0.25">
      <c r="A957" s="1" t="s">
        <v>947</v>
      </c>
      <c r="B957" s="8">
        <v>45829</v>
      </c>
      <c r="C957" s="8">
        <v>45685</v>
      </c>
      <c r="D957" s="8">
        <v>45476</v>
      </c>
      <c r="E957" s="8"/>
    </row>
    <row r="958" spans="1:5" x14ac:dyDescent="0.25">
      <c r="A958" s="1" t="s">
        <v>948</v>
      </c>
      <c r="B958" s="8">
        <v>45359</v>
      </c>
      <c r="C958" s="8">
        <v>45293</v>
      </c>
      <c r="D958" s="8"/>
      <c r="E958" s="8"/>
    </row>
    <row r="959" spans="1:5" x14ac:dyDescent="0.25">
      <c r="A959" s="1" t="s">
        <v>949</v>
      </c>
      <c r="B959" s="8">
        <v>46206</v>
      </c>
      <c r="C959" s="8">
        <v>45965</v>
      </c>
      <c r="D959" s="8">
        <v>45770</v>
      </c>
      <c r="E959" s="8">
        <v>45621</v>
      </c>
    </row>
    <row r="960" spans="1:5" x14ac:dyDescent="0.25">
      <c r="A960" s="1" t="s">
        <v>950</v>
      </c>
      <c r="B960" s="8">
        <v>46193</v>
      </c>
      <c r="C960" s="8">
        <v>46093</v>
      </c>
      <c r="D960" s="8">
        <v>45793</v>
      </c>
      <c r="E960" s="8">
        <v>45555</v>
      </c>
    </row>
    <row r="961" spans="1:5" x14ac:dyDescent="0.25">
      <c r="A961" s="1" t="s">
        <v>952</v>
      </c>
      <c r="B961" s="8">
        <v>45966</v>
      </c>
      <c r="C961" s="8">
        <v>45930</v>
      </c>
      <c r="D961" s="8">
        <v>45703</v>
      </c>
      <c r="E961" s="8">
        <v>45552</v>
      </c>
    </row>
    <row r="962" spans="1:5" x14ac:dyDescent="0.25">
      <c r="A962" s="1" t="s">
        <v>954</v>
      </c>
      <c r="B962" s="8">
        <v>46080</v>
      </c>
      <c r="C962" s="8">
        <v>45925</v>
      </c>
      <c r="D962" s="8">
        <v>45703</v>
      </c>
      <c r="E962" s="8">
        <v>45547</v>
      </c>
    </row>
    <row r="963" spans="1:5" x14ac:dyDescent="0.25">
      <c r="A963" s="1" t="s">
        <v>951</v>
      </c>
      <c r="B963" s="8">
        <v>46149</v>
      </c>
      <c r="C963" s="8">
        <v>46053</v>
      </c>
      <c r="D963" s="8">
        <v>45805</v>
      </c>
      <c r="E963" s="8">
        <v>45702</v>
      </c>
    </row>
    <row r="964" spans="1:5" x14ac:dyDescent="0.25">
      <c r="A964" s="1" t="s">
        <v>955</v>
      </c>
      <c r="B964" s="8">
        <v>46179</v>
      </c>
      <c r="C964" s="8">
        <v>46085</v>
      </c>
      <c r="D964" s="8">
        <v>45715</v>
      </c>
      <c r="E964" s="8">
        <v>45530</v>
      </c>
    </row>
    <row r="965" spans="1:5" x14ac:dyDescent="0.25">
      <c r="A965" s="1" t="s">
        <v>953</v>
      </c>
      <c r="B965" s="8">
        <v>45208</v>
      </c>
      <c r="C965" s="8"/>
      <c r="D965" s="8"/>
      <c r="E965" s="8"/>
    </row>
    <row r="966" spans="1:5" x14ac:dyDescent="0.25">
      <c r="A966" s="1" t="s">
        <v>956</v>
      </c>
      <c r="B966" s="8">
        <v>45165</v>
      </c>
      <c r="C966" s="8"/>
      <c r="D966" s="8"/>
      <c r="E966" s="8"/>
    </row>
    <row r="967" spans="1:5" x14ac:dyDescent="0.25">
      <c r="A967" s="1" t="s">
        <v>957</v>
      </c>
      <c r="B967" s="8">
        <v>45554</v>
      </c>
      <c r="C967" s="8">
        <v>45165</v>
      </c>
      <c r="D967" s="8"/>
      <c r="E967" s="8"/>
    </row>
    <row r="968" spans="1:5" x14ac:dyDescent="0.25">
      <c r="A968" s="1" t="s">
        <v>958</v>
      </c>
      <c r="B968" s="8">
        <v>46239</v>
      </c>
      <c r="C968" s="8">
        <v>46063</v>
      </c>
      <c r="D968" s="8">
        <v>45881</v>
      </c>
      <c r="E968" s="8">
        <v>45716</v>
      </c>
    </row>
    <row r="969" spans="1:5" x14ac:dyDescent="0.25">
      <c r="A969" s="1" t="s">
        <v>959</v>
      </c>
      <c r="B969" s="8">
        <v>46267</v>
      </c>
      <c r="C969" s="8">
        <v>46059</v>
      </c>
      <c r="D969" s="8">
        <v>45910</v>
      </c>
      <c r="E969" s="8">
        <v>45639</v>
      </c>
    </row>
    <row r="970" spans="1:5" x14ac:dyDescent="0.25">
      <c r="A970" s="1" t="s">
        <v>961</v>
      </c>
      <c r="B970" s="8">
        <v>46257</v>
      </c>
      <c r="C970" s="8">
        <v>46093</v>
      </c>
      <c r="D970" s="8">
        <v>45919</v>
      </c>
      <c r="E970" s="8">
        <v>45762</v>
      </c>
    </row>
    <row r="971" spans="1:5" x14ac:dyDescent="0.25">
      <c r="A971" s="1" t="s">
        <v>962</v>
      </c>
      <c r="B971" s="8">
        <v>46257</v>
      </c>
      <c r="C971" s="8">
        <v>46037</v>
      </c>
      <c r="D971" s="8">
        <v>45919</v>
      </c>
      <c r="E971" s="8">
        <v>45721</v>
      </c>
    </row>
    <row r="972" spans="1:5" x14ac:dyDescent="0.25">
      <c r="A972" s="1" t="s">
        <v>960</v>
      </c>
      <c r="B972" s="8">
        <v>46265</v>
      </c>
      <c r="C972" s="8">
        <v>46049</v>
      </c>
      <c r="D972" s="8">
        <v>45902</v>
      </c>
      <c r="E972" s="8">
        <v>45716</v>
      </c>
    </row>
    <row r="973" spans="1:5" x14ac:dyDescent="0.25">
      <c r="A973" s="1" t="s">
        <v>963</v>
      </c>
      <c r="B973" s="8">
        <v>46170</v>
      </c>
      <c r="C973" s="8">
        <v>45924</v>
      </c>
      <c r="D973" s="8">
        <v>45716</v>
      </c>
      <c r="E973" s="8">
        <v>45497</v>
      </c>
    </row>
    <row r="974" spans="1:5" x14ac:dyDescent="0.25">
      <c r="A974" s="1" t="s">
        <v>967</v>
      </c>
      <c r="B974" s="8">
        <v>46069</v>
      </c>
      <c r="C974" s="8">
        <v>45898</v>
      </c>
      <c r="D974" s="8">
        <v>45713</v>
      </c>
      <c r="E974" s="8">
        <v>45532</v>
      </c>
    </row>
    <row r="975" spans="1:5" x14ac:dyDescent="0.25">
      <c r="A975" s="1" t="s">
        <v>965</v>
      </c>
      <c r="B975" s="8">
        <v>45812</v>
      </c>
      <c r="C975" s="8">
        <v>45703</v>
      </c>
      <c r="D975" s="8">
        <v>45527</v>
      </c>
      <c r="E975" s="8">
        <v>45301</v>
      </c>
    </row>
    <row r="976" spans="1:5" x14ac:dyDescent="0.25">
      <c r="A976" s="1" t="s">
        <v>966</v>
      </c>
      <c r="B976" s="8">
        <v>46141</v>
      </c>
      <c r="C976" s="8">
        <v>46107</v>
      </c>
      <c r="D976" s="8">
        <v>45945</v>
      </c>
      <c r="E976" s="8">
        <v>45694</v>
      </c>
    </row>
    <row r="977" spans="1:5" x14ac:dyDescent="0.25">
      <c r="A977" s="1" t="s">
        <v>968</v>
      </c>
      <c r="B977" s="8">
        <v>45297</v>
      </c>
      <c r="C977" s="8">
        <v>45121</v>
      </c>
      <c r="D977" s="8"/>
      <c r="E977" s="8"/>
    </row>
    <row r="978" spans="1:5" x14ac:dyDescent="0.25">
      <c r="A978" s="1" t="s">
        <v>964</v>
      </c>
      <c r="B978" s="8">
        <v>45297</v>
      </c>
      <c r="C978" s="8">
        <v>45121</v>
      </c>
      <c r="D978" s="8"/>
      <c r="E978" s="8"/>
    </row>
    <row r="979" spans="1:5" x14ac:dyDescent="0.25">
      <c r="A979" s="1" t="s">
        <v>969</v>
      </c>
      <c r="B979" s="8">
        <v>46176</v>
      </c>
      <c r="C979" s="8">
        <v>46037</v>
      </c>
      <c r="D979" s="8">
        <v>45846</v>
      </c>
      <c r="E979" s="8">
        <v>45713</v>
      </c>
    </row>
    <row r="980" spans="1:5" x14ac:dyDescent="0.25">
      <c r="A980" s="1" t="s">
        <v>973</v>
      </c>
      <c r="B980" s="8">
        <v>46234</v>
      </c>
      <c r="C980" s="8">
        <v>46051</v>
      </c>
      <c r="D980" s="8">
        <v>45922</v>
      </c>
      <c r="E980" s="8">
        <v>45706</v>
      </c>
    </row>
    <row r="981" spans="1:5" x14ac:dyDescent="0.25">
      <c r="A981" s="1" t="s">
        <v>971</v>
      </c>
      <c r="B981" s="8">
        <v>45745</v>
      </c>
      <c r="C981" s="8">
        <v>45527</v>
      </c>
      <c r="D981" s="8">
        <v>45338</v>
      </c>
      <c r="E981" s="8">
        <v>45276</v>
      </c>
    </row>
    <row r="982" spans="1:5" x14ac:dyDescent="0.25">
      <c r="A982" s="1" t="s">
        <v>972</v>
      </c>
      <c r="B982" s="8">
        <v>45749</v>
      </c>
      <c r="C982" s="8">
        <v>45574</v>
      </c>
      <c r="D982" s="8">
        <v>45387</v>
      </c>
      <c r="E982" s="8">
        <v>45177</v>
      </c>
    </row>
    <row r="983" spans="1:5" x14ac:dyDescent="0.25">
      <c r="A983" s="1" t="s">
        <v>970</v>
      </c>
      <c r="B983" s="8">
        <v>46220</v>
      </c>
      <c r="C983" s="8">
        <v>46037</v>
      </c>
      <c r="D983" s="8">
        <v>45847</v>
      </c>
      <c r="E983" s="8">
        <v>45703</v>
      </c>
    </row>
    <row r="984" spans="1:5" x14ac:dyDescent="0.25">
      <c r="A984" s="1" t="s">
        <v>974</v>
      </c>
      <c r="B984" s="8">
        <v>46199</v>
      </c>
      <c r="C984" s="8">
        <v>46112</v>
      </c>
      <c r="D984" s="8">
        <v>46104</v>
      </c>
      <c r="E984" s="8">
        <v>45703</v>
      </c>
    </row>
    <row r="985" spans="1:5" x14ac:dyDescent="0.25">
      <c r="A985" s="1" t="s">
        <v>975</v>
      </c>
      <c r="B985" s="8">
        <v>46155</v>
      </c>
      <c r="C985" s="8">
        <v>45825</v>
      </c>
      <c r="D985" s="8">
        <v>45199</v>
      </c>
      <c r="E985" s="8"/>
    </row>
    <row r="986" spans="1:5" x14ac:dyDescent="0.25">
      <c r="A986" s="1" t="s">
        <v>976</v>
      </c>
      <c r="B986" s="8">
        <v>46002</v>
      </c>
      <c r="C986" s="8">
        <v>45793</v>
      </c>
      <c r="D986" s="8">
        <v>45607</v>
      </c>
      <c r="E986" s="8">
        <v>45493</v>
      </c>
    </row>
    <row r="987" spans="1:5" x14ac:dyDescent="0.25">
      <c r="A987" s="1" t="s">
        <v>977</v>
      </c>
      <c r="B987" s="8">
        <v>45674</v>
      </c>
      <c r="C987" s="8">
        <v>45490</v>
      </c>
      <c r="D987" s="8">
        <v>45327</v>
      </c>
      <c r="E987" s="8">
        <v>45118</v>
      </c>
    </row>
    <row r="988" spans="1:5" x14ac:dyDescent="0.25">
      <c r="A988" s="1" t="s">
        <v>978</v>
      </c>
      <c r="B988" s="8">
        <v>45226</v>
      </c>
      <c r="C988" s="8"/>
      <c r="D988" s="8"/>
      <c r="E988" s="8"/>
    </row>
    <row r="989" spans="1:5" x14ac:dyDescent="0.25">
      <c r="A989" s="1" t="s">
        <v>979</v>
      </c>
      <c r="B989" s="8">
        <v>46316</v>
      </c>
      <c r="C989" s="8">
        <v>46287</v>
      </c>
      <c r="D989" s="8">
        <v>46052</v>
      </c>
      <c r="E989" s="8">
        <v>45915</v>
      </c>
    </row>
    <row r="990" spans="1:5" x14ac:dyDescent="0.25">
      <c r="A990" s="1" t="s">
        <v>981</v>
      </c>
      <c r="B990" s="8"/>
      <c r="C990" s="8"/>
      <c r="D990" s="8"/>
      <c r="E990" s="8"/>
    </row>
    <row r="991" spans="1:5" x14ac:dyDescent="0.25">
      <c r="A991" s="1" t="s">
        <v>980</v>
      </c>
      <c r="B991" s="8">
        <v>45712</v>
      </c>
      <c r="C991" s="8">
        <v>45551</v>
      </c>
      <c r="D991" s="8">
        <v>45369</v>
      </c>
      <c r="E991" s="8">
        <v>45183</v>
      </c>
    </row>
    <row r="992" spans="1:5" x14ac:dyDescent="0.25">
      <c r="A992" s="1" t="s">
        <v>982</v>
      </c>
      <c r="B992" s="8">
        <v>46168</v>
      </c>
      <c r="C992" s="8">
        <v>45308</v>
      </c>
      <c r="D992" s="8">
        <v>45132</v>
      </c>
      <c r="E992" s="8"/>
    </row>
    <row r="993" spans="1:5" x14ac:dyDescent="0.25">
      <c r="A993" s="1" t="s">
        <v>983</v>
      </c>
      <c r="B993" s="8">
        <v>45736</v>
      </c>
      <c r="C993" s="8">
        <v>45560</v>
      </c>
      <c r="D993" s="8">
        <v>45385</v>
      </c>
      <c r="E993" s="8">
        <v>45148</v>
      </c>
    </row>
    <row r="994" spans="1:5" x14ac:dyDescent="0.25">
      <c r="A994" s="1" t="s">
        <v>984</v>
      </c>
      <c r="B994" s="8">
        <v>45366</v>
      </c>
      <c r="C994" s="8">
        <v>45143</v>
      </c>
      <c r="D994" s="8"/>
      <c r="E994" s="8"/>
    </row>
    <row r="995" spans="1:5" x14ac:dyDescent="0.25">
      <c r="A995" s="1" t="s">
        <v>985</v>
      </c>
      <c r="B995" s="8">
        <v>45506</v>
      </c>
      <c r="C995" s="8">
        <v>45351</v>
      </c>
      <c r="D995" s="8">
        <v>45141</v>
      </c>
      <c r="E995" s="8"/>
    </row>
    <row r="996" spans="1:5" x14ac:dyDescent="0.25">
      <c r="A996" s="1" t="s">
        <v>986</v>
      </c>
      <c r="B996" s="8">
        <v>46257</v>
      </c>
      <c r="C996" s="8">
        <v>46010</v>
      </c>
      <c r="D996" s="8">
        <v>45875</v>
      </c>
      <c r="E996" s="8">
        <v>45670</v>
      </c>
    </row>
    <row r="997" spans="1:5" x14ac:dyDescent="0.25">
      <c r="A997" s="1" t="s">
        <v>987</v>
      </c>
      <c r="B997" s="8">
        <v>46019</v>
      </c>
      <c r="C997" s="8">
        <v>45866</v>
      </c>
      <c r="D997" s="8">
        <v>45670</v>
      </c>
      <c r="E997" s="8">
        <v>45463</v>
      </c>
    </row>
    <row r="998" spans="1:5" x14ac:dyDescent="0.25">
      <c r="A998" s="1" t="s">
        <v>988</v>
      </c>
      <c r="B998" s="8"/>
      <c r="C998" s="8"/>
      <c r="D998" s="8"/>
      <c r="E998" s="8"/>
    </row>
    <row r="999" spans="1:5" x14ac:dyDescent="0.25">
      <c r="A999" s="1" t="s">
        <v>989</v>
      </c>
      <c r="B999" s="8">
        <v>45673</v>
      </c>
      <c r="C999" s="8">
        <v>45546</v>
      </c>
      <c r="D999" s="8">
        <v>45339</v>
      </c>
      <c r="E999" s="8">
        <v>45322</v>
      </c>
    </row>
    <row r="1000" spans="1:5" x14ac:dyDescent="0.25">
      <c r="A1000" s="1" t="s">
        <v>990</v>
      </c>
      <c r="B1000" s="8"/>
      <c r="C1000" s="8"/>
      <c r="D1000" s="8"/>
      <c r="E1000" s="8"/>
    </row>
    <row r="1001" spans="1:5" x14ac:dyDescent="0.25">
      <c r="A1001" s="1" t="s">
        <v>991</v>
      </c>
      <c r="B1001" s="8">
        <v>46272</v>
      </c>
      <c r="C1001" s="8">
        <v>46129</v>
      </c>
      <c r="D1001" s="8">
        <v>45551</v>
      </c>
      <c r="E1001" s="8">
        <v>45346</v>
      </c>
    </row>
    <row r="1002" spans="1:5" x14ac:dyDescent="0.25">
      <c r="A1002" s="1" t="s">
        <v>992</v>
      </c>
      <c r="B1002" s="8">
        <v>46038</v>
      </c>
      <c r="C1002" s="8">
        <v>45916</v>
      </c>
      <c r="D1002" s="8">
        <v>45663</v>
      </c>
      <c r="E1002" s="8">
        <v>45525</v>
      </c>
    </row>
    <row r="1003" spans="1:5" x14ac:dyDescent="0.25">
      <c r="A1003" s="1" t="s">
        <v>993</v>
      </c>
      <c r="B1003" s="8">
        <v>46000</v>
      </c>
      <c r="C1003" s="8">
        <v>45855</v>
      </c>
      <c r="D1003" s="8">
        <v>45654</v>
      </c>
      <c r="E1003" s="8">
        <v>45497</v>
      </c>
    </row>
    <row r="1004" spans="1:5" x14ac:dyDescent="0.25">
      <c r="A1004" s="1" t="s">
        <v>994</v>
      </c>
      <c r="B1004" s="8"/>
      <c r="C1004" s="8"/>
      <c r="D1004" s="8"/>
      <c r="E1004" s="8"/>
    </row>
    <row r="1005" spans="1:5" x14ac:dyDescent="0.25">
      <c r="A1005" s="1" t="s">
        <v>995</v>
      </c>
      <c r="B1005" s="8"/>
      <c r="C1005" s="8"/>
      <c r="D1005" s="8"/>
      <c r="E1005" s="8"/>
    </row>
    <row r="1006" spans="1:5" x14ac:dyDescent="0.25">
      <c r="A1006" s="1" t="s">
        <v>996</v>
      </c>
      <c r="B1006" s="8">
        <v>46257</v>
      </c>
      <c r="C1006" s="8">
        <v>46037</v>
      </c>
      <c r="D1006" s="8">
        <v>45891</v>
      </c>
      <c r="E1006" s="8">
        <v>45321</v>
      </c>
    </row>
    <row r="1007" spans="1:5" x14ac:dyDescent="0.25">
      <c r="A1007" s="1" t="s">
        <v>999</v>
      </c>
      <c r="B1007" s="8">
        <v>46257</v>
      </c>
      <c r="C1007" s="8">
        <v>46037</v>
      </c>
      <c r="D1007" s="8">
        <v>45891</v>
      </c>
      <c r="E1007" s="8">
        <v>45321</v>
      </c>
    </row>
    <row r="1008" spans="1:5" x14ac:dyDescent="0.25">
      <c r="A1008" s="1" t="s">
        <v>997</v>
      </c>
      <c r="B1008" s="8"/>
      <c r="C1008" s="8"/>
      <c r="D1008" s="8"/>
      <c r="E1008" s="8"/>
    </row>
    <row r="1009" spans="1:5" x14ac:dyDescent="0.25">
      <c r="A1009" s="1" t="s">
        <v>998</v>
      </c>
      <c r="B1009" s="8">
        <v>46267</v>
      </c>
      <c r="C1009" s="8">
        <v>46071</v>
      </c>
      <c r="D1009" s="8">
        <v>45889</v>
      </c>
      <c r="E1009" s="8">
        <v>45594</v>
      </c>
    </row>
    <row r="1010" spans="1:5" x14ac:dyDescent="0.25">
      <c r="A1010" s="1" t="s">
        <v>1003</v>
      </c>
      <c r="B1010" s="8"/>
      <c r="C1010" s="8"/>
      <c r="D1010" s="8"/>
      <c r="E1010" s="8"/>
    </row>
    <row r="1011" spans="1:5" x14ac:dyDescent="0.25">
      <c r="A1011" s="1" t="s">
        <v>1000</v>
      </c>
      <c r="B1011" s="8"/>
      <c r="C1011" s="8"/>
      <c r="D1011" s="8"/>
      <c r="E1011" s="8"/>
    </row>
    <row r="1012" spans="1:5" x14ac:dyDescent="0.25">
      <c r="A1012" s="1" t="s">
        <v>1001</v>
      </c>
      <c r="B1012" s="8">
        <v>46241</v>
      </c>
      <c r="C1012" s="8">
        <v>46081</v>
      </c>
      <c r="D1012" s="8">
        <v>45927</v>
      </c>
      <c r="E1012" s="8">
        <v>45686</v>
      </c>
    </row>
    <row r="1013" spans="1:5" x14ac:dyDescent="0.25">
      <c r="A1013" s="1" t="s">
        <v>1002</v>
      </c>
      <c r="B1013" s="8"/>
      <c r="C1013" s="8"/>
      <c r="D1013" s="8"/>
      <c r="E1013" s="8"/>
    </row>
    <row r="1014" spans="1:5" x14ac:dyDescent="0.25">
      <c r="A1014" s="1" t="s">
        <v>1005</v>
      </c>
      <c r="B1014" s="8">
        <v>45145</v>
      </c>
      <c r="C1014" s="8"/>
      <c r="D1014" s="8"/>
      <c r="E1014" s="8"/>
    </row>
    <row r="1015" spans="1:5" x14ac:dyDescent="0.25">
      <c r="A1015" s="1" t="s">
        <v>1004</v>
      </c>
      <c r="B1015" s="8">
        <v>46289</v>
      </c>
      <c r="C1015" s="8">
        <v>46289</v>
      </c>
      <c r="D1015" s="8">
        <v>46083</v>
      </c>
      <c r="E1015" s="8">
        <v>45863</v>
      </c>
    </row>
    <row r="1016" spans="1:5" x14ac:dyDescent="0.25">
      <c r="A1016" s="1" t="s">
        <v>1006</v>
      </c>
      <c r="B1016" s="8">
        <v>46183</v>
      </c>
      <c r="C1016" s="8">
        <v>46039</v>
      </c>
      <c r="D1016" s="8">
        <v>45615</v>
      </c>
      <c r="E1016" s="8">
        <v>45458</v>
      </c>
    </row>
    <row r="1017" spans="1:5" x14ac:dyDescent="0.25">
      <c r="A1017" s="1" t="s">
        <v>1007</v>
      </c>
      <c r="B1017" s="8"/>
      <c r="C1017" s="8"/>
      <c r="D1017" s="8"/>
      <c r="E1017" s="8"/>
    </row>
    <row r="1018" spans="1:5" x14ac:dyDescent="0.25">
      <c r="A1018" s="1" t="s">
        <v>1009</v>
      </c>
      <c r="B1018" s="8">
        <v>46161</v>
      </c>
      <c r="C1018" s="8">
        <v>46060</v>
      </c>
      <c r="D1018" s="8">
        <v>45488</v>
      </c>
      <c r="E1018" s="8">
        <v>45331</v>
      </c>
    </row>
    <row r="1019" spans="1:5" x14ac:dyDescent="0.25">
      <c r="A1019" s="1" t="s">
        <v>1008</v>
      </c>
      <c r="B1019" s="8">
        <v>46189</v>
      </c>
      <c r="C1019" s="8">
        <v>46080</v>
      </c>
      <c r="D1019" s="8">
        <v>45910</v>
      </c>
      <c r="E1019" s="8">
        <v>45667</v>
      </c>
    </row>
    <row r="1020" spans="1:5" x14ac:dyDescent="0.25">
      <c r="A1020" s="1" t="s">
        <v>1010</v>
      </c>
      <c r="B1020" s="8">
        <v>45148</v>
      </c>
      <c r="C1020" s="8">
        <v>45139</v>
      </c>
      <c r="D1020" s="8"/>
      <c r="E1020" s="8"/>
    </row>
    <row r="1021" spans="1:5" x14ac:dyDescent="0.25">
      <c r="A1021" s="1" t="s">
        <v>1011</v>
      </c>
      <c r="B1021" s="8">
        <v>46257</v>
      </c>
      <c r="C1021" s="8">
        <v>46010</v>
      </c>
      <c r="D1021" s="8">
        <v>46002</v>
      </c>
      <c r="E1021" s="8">
        <v>45712</v>
      </c>
    </row>
    <row r="1022" spans="1:5" x14ac:dyDescent="0.25">
      <c r="A1022" s="1" t="s">
        <v>1012</v>
      </c>
      <c r="B1022" s="8">
        <v>46149</v>
      </c>
      <c r="C1022" s="8">
        <v>46053</v>
      </c>
      <c r="D1022" s="8">
        <v>45806</v>
      </c>
      <c r="E1022" s="8">
        <v>45702</v>
      </c>
    </row>
    <row r="1023" spans="1:5" x14ac:dyDescent="0.25">
      <c r="A1023" s="1" t="s">
        <v>1013</v>
      </c>
      <c r="B1023" s="8">
        <v>46178</v>
      </c>
      <c r="C1023" s="8">
        <v>46049</v>
      </c>
      <c r="D1023" s="8">
        <v>45820</v>
      </c>
      <c r="E1023" s="8">
        <v>45713</v>
      </c>
    </row>
    <row r="1024" spans="1:5" x14ac:dyDescent="0.25">
      <c r="A1024" s="1" t="s">
        <v>1014</v>
      </c>
      <c r="B1024" s="8">
        <v>46302</v>
      </c>
      <c r="C1024" s="8">
        <v>46160</v>
      </c>
      <c r="D1024" s="8">
        <v>46073</v>
      </c>
      <c r="E1024" s="8">
        <v>45841</v>
      </c>
    </row>
    <row r="1025" spans="1:5" x14ac:dyDescent="0.25">
      <c r="A1025" s="1" t="s">
        <v>1015</v>
      </c>
      <c r="B1025" s="8">
        <v>46178</v>
      </c>
      <c r="C1025" s="8">
        <v>45960</v>
      </c>
      <c r="D1025" s="8">
        <v>45804</v>
      </c>
      <c r="E1025" s="8">
        <v>45573</v>
      </c>
    </row>
    <row r="1026" spans="1:5" x14ac:dyDescent="0.25">
      <c r="A1026" s="1" t="s">
        <v>1016</v>
      </c>
      <c r="B1026" s="8">
        <v>45274</v>
      </c>
      <c r="C1026" s="8">
        <v>45274</v>
      </c>
      <c r="D1026" s="8">
        <v>45100</v>
      </c>
      <c r="E1026" s="8"/>
    </row>
    <row r="1027" spans="1:5" x14ac:dyDescent="0.25">
      <c r="A1027" s="1" t="s">
        <v>1017</v>
      </c>
      <c r="B1027" s="8"/>
      <c r="C1027" s="8"/>
      <c r="D1027" s="8"/>
      <c r="E1027" s="8"/>
    </row>
    <row r="1028" spans="1:5" x14ac:dyDescent="0.25">
      <c r="A1028" s="1" t="s">
        <v>1018</v>
      </c>
      <c r="B1028" s="8">
        <v>45297</v>
      </c>
      <c r="C1028" s="8">
        <v>45131</v>
      </c>
      <c r="D1028" s="8"/>
      <c r="E1028" s="8"/>
    </row>
    <row r="1029" spans="1:5" x14ac:dyDescent="0.25">
      <c r="A1029" s="1" t="s">
        <v>1019</v>
      </c>
      <c r="B1029" s="8">
        <v>46312</v>
      </c>
      <c r="C1029" s="8">
        <v>46157</v>
      </c>
      <c r="D1029" s="8">
        <v>45955</v>
      </c>
      <c r="E1029" s="8">
        <v>45792</v>
      </c>
    </row>
    <row r="1030" spans="1:5" x14ac:dyDescent="0.25">
      <c r="A1030" s="1" t="s">
        <v>1021</v>
      </c>
      <c r="B1030" s="8"/>
      <c r="C1030" s="8"/>
      <c r="D1030" s="8"/>
      <c r="E1030" s="8"/>
    </row>
    <row r="1031" spans="1:5" x14ac:dyDescent="0.25">
      <c r="A1031" s="1" t="s">
        <v>1020</v>
      </c>
      <c r="B1031" s="8">
        <v>46312</v>
      </c>
      <c r="C1031" s="8">
        <v>46157</v>
      </c>
      <c r="D1031" s="8">
        <v>45955</v>
      </c>
      <c r="E1031" s="8">
        <v>45793</v>
      </c>
    </row>
    <row r="1032" spans="1:5" x14ac:dyDescent="0.25">
      <c r="A1032" s="1" t="s">
        <v>1022</v>
      </c>
      <c r="B1032" s="8">
        <v>45276</v>
      </c>
      <c r="C1032" s="8">
        <v>45068</v>
      </c>
      <c r="D1032" s="8"/>
      <c r="E1032" s="8"/>
    </row>
    <row r="1033" spans="1:5" x14ac:dyDescent="0.25">
      <c r="A1033" s="1" t="s">
        <v>1023</v>
      </c>
      <c r="B1033" s="8">
        <v>46203</v>
      </c>
      <c r="C1033" s="8">
        <v>46029</v>
      </c>
      <c r="D1033" s="8">
        <v>45839</v>
      </c>
      <c r="E1033" s="8">
        <v>45681</v>
      </c>
    </row>
    <row r="1034" spans="1:5" x14ac:dyDescent="0.25">
      <c r="A1034" s="1" t="s">
        <v>1024</v>
      </c>
      <c r="B1034" s="8">
        <v>45280</v>
      </c>
      <c r="C1034" s="8">
        <v>45050</v>
      </c>
      <c r="D1034" s="8"/>
      <c r="E1034" s="8"/>
    </row>
    <row r="1035" spans="1:5" x14ac:dyDescent="0.25">
      <c r="A1035" s="1" t="s">
        <v>1025</v>
      </c>
      <c r="B1035" s="8">
        <v>46270</v>
      </c>
      <c r="C1035" s="8">
        <v>46197</v>
      </c>
      <c r="D1035" s="8">
        <v>46104</v>
      </c>
      <c r="E1035" s="8">
        <v>45996</v>
      </c>
    </row>
    <row r="1036" spans="1:5" x14ac:dyDescent="0.25">
      <c r="A1036" s="1" t="s">
        <v>1026</v>
      </c>
      <c r="B1036" s="8">
        <v>45280</v>
      </c>
      <c r="C1036" s="8">
        <v>45050</v>
      </c>
      <c r="D1036" s="8"/>
      <c r="E1036" s="8"/>
    </row>
    <row r="1037" spans="1:5" x14ac:dyDescent="0.25">
      <c r="A1037" s="1" t="s">
        <v>1027</v>
      </c>
      <c r="B1037" s="8">
        <v>45106</v>
      </c>
      <c r="C1037" s="8"/>
      <c r="D1037" s="8"/>
      <c r="E1037" s="8"/>
    </row>
    <row r="1038" spans="1:5" x14ac:dyDescent="0.25">
      <c r="A1038" s="1" t="s">
        <v>1029</v>
      </c>
      <c r="B1038" s="8">
        <v>45076</v>
      </c>
      <c r="C1038" s="8"/>
      <c r="D1038" s="8"/>
      <c r="E1038" s="8"/>
    </row>
    <row r="1039" spans="1:5" x14ac:dyDescent="0.25">
      <c r="A1039" s="1" t="s">
        <v>1030</v>
      </c>
      <c r="B1039" s="8">
        <v>45293</v>
      </c>
      <c r="C1039" s="8">
        <v>45107</v>
      </c>
      <c r="D1039" s="8"/>
      <c r="E1039" s="8"/>
    </row>
    <row r="1040" spans="1:5" x14ac:dyDescent="0.25">
      <c r="A1040" s="1" t="s">
        <v>1028</v>
      </c>
      <c r="B1040" s="8">
        <v>45165</v>
      </c>
      <c r="C1040" s="8"/>
      <c r="D1040" s="8"/>
      <c r="E1040" s="8"/>
    </row>
    <row r="1041" spans="1:5" x14ac:dyDescent="0.25">
      <c r="A1041" s="1" t="s">
        <v>1031</v>
      </c>
      <c r="B1041" s="8">
        <v>46268</v>
      </c>
      <c r="C1041" s="8">
        <v>46060</v>
      </c>
      <c r="D1041" s="8">
        <v>45875</v>
      </c>
      <c r="E1041" s="8">
        <v>45701</v>
      </c>
    </row>
    <row r="1042" spans="1:5" x14ac:dyDescent="0.25">
      <c r="A1042" s="1" t="s">
        <v>1033</v>
      </c>
      <c r="B1042" s="8">
        <v>45205</v>
      </c>
      <c r="C1042" s="8">
        <v>45034</v>
      </c>
      <c r="D1042" s="8"/>
      <c r="E1042" s="8"/>
    </row>
    <row r="1043" spans="1:5" x14ac:dyDescent="0.25">
      <c r="A1043" s="1" t="s">
        <v>1032</v>
      </c>
      <c r="B1043" s="8">
        <v>46272</v>
      </c>
      <c r="C1043" s="8">
        <v>46155</v>
      </c>
      <c r="D1043" s="8">
        <v>45629</v>
      </c>
      <c r="E1043" s="8">
        <v>45316</v>
      </c>
    </row>
    <row r="1044" spans="1:5" x14ac:dyDescent="0.25">
      <c r="A1044" s="1" t="s">
        <v>1035</v>
      </c>
      <c r="B1044" s="8"/>
      <c r="C1044" s="8"/>
      <c r="D1044" s="8"/>
      <c r="E1044" s="8"/>
    </row>
    <row r="1045" spans="1:5" x14ac:dyDescent="0.25">
      <c r="A1045" s="1" t="s">
        <v>1034</v>
      </c>
      <c r="B1045" s="8">
        <v>46238</v>
      </c>
      <c r="C1045" s="8">
        <v>46062</v>
      </c>
      <c r="D1045" s="8">
        <v>45881</v>
      </c>
      <c r="E1045" s="8">
        <v>45703</v>
      </c>
    </row>
    <row r="1046" spans="1:5" x14ac:dyDescent="0.25">
      <c r="A1046" s="1" t="s">
        <v>1036</v>
      </c>
      <c r="B1046" s="8">
        <v>46204</v>
      </c>
      <c r="C1046" s="8">
        <v>45985</v>
      </c>
      <c r="D1046" s="8">
        <v>45856</v>
      </c>
      <c r="E1046" s="8">
        <v>45682</v>
      </c>
    </row>
    <row r="1047" spans="1:5" x14ac:dyDescent="0.25">
      <c r="A1047" s="1" t="s">
        <v>1037</v>
      </c>
      <c r="B1047" s="8">
        <v>45979</v>
      </c>
      <c r="C1047" s="8">
        <v>45754</v>
      </c>
      <c r="D1047" s="8">
        <v>45583</v>
      </c>
      <c r="E1047" s="8">
        <v>45427</v>
      </c>
    </row>
    <row r="1048" spans="1:5" x14ac:dyDescent="0.25">
      <c r="A1048" s="1" t="s">
        <v>1038</v>
      </c>
      <c r="B1048" s="8">
        <v>45979</v>
      </c>
      <c r="C1048" s="8">
        <v>45754</v>
      </c>
      <c r="D1048" s="8">
        <v>45583</v>
      </c>
      <c r="E1048" s="8">
        <v>45427</v>
      </c>
    </row>
    <row r="1049" spans="1:5" x14ac:dyDescent="0.25">
      <c r="A1049" s="1" t="s">
        <v>1039</v>
      </c>
      <c r="B1049" s="8">
        <v>46244</v>
      </c>
      <c r="C1049" s="8">
        <v>46052</v>
      </c>
      <c r="D1049" s="8">
        <v>45875</v>
      </c>
      <c r="E1049" s="8">
        <v>45593</v>
      </c>
    </row>
    <row r="1050" spans="1:5" x14ac:dyDescent="0.25">
      <c r="A1050" s="1" t="s">
        <v>1040</v>
      </c>
      <c r="B1050" s="8">
        <v>45996</v>
      </c>
      <c r="C1050" s="8">
        <v>45812</v>
      </c>
      <c r="D1050" s="8">
        <v>45587</v>
      </c>
      <c r="E1050" s="8">
        <v>45388</v>
      </c>
    </row>
    <row r="1051" spans="1:5" x14ac:dyDescent="0.25">
      <c r="A1051" s="1" t="s">
        <v>1041</v>
      </c>
      <c r="B1051" s="8">
        <v>46323</v>
      </c>
      <c r="C1051" s="8">
        <v>46135</v>
      </c>
      <c r="D1051" s="8">
        <v>45934</v>
      </c>
      <c r="E1051" s="8">
        <v>45766</v>
      </c>
    </row>
    <row r="1052" spans="1:5" x14ac:dyDescent="0.25">
      <c r="A1052" s="1" t="s">
        <v>1042</v>
      </c>
      <c r="B1052" s="8">
        <v>46206</v>
      </c>
      <c r="C1052" s="8">
        <v>46008</v>
      </c>
      <c r="D1052" s="8">
        <v>45808</v>
      </c>
      <c r="E1052" s="8">
        <v>45649</v>
      </c>
    </row>
    <row r="1053" spans="1:5" x14ac:dyDescent="0.25">
      <c r="A1053" s="1" t="s">
        <v>1043</v>
      </c>
      <c r="B1053" s="8">
        <v>46322</v>
      </c>
      <c r="C1053" s="8">
        <v>46231</v>
      </c>
      <c r="D1053" s="8">
        <v>46147</v>
      </c>
      <c r="E1053" s="8">
        <v>45926</v>
      </c>
    </row>
    <row r="1054" spans="1:5" x14ac:dyDescent="0.25">
      <c r="A1054" s="1" t="s">
        <v>1044</v>
      </c>
      <c r="B1054" s="8"/>
      <c r="C1054" s="8"/>
      <c r="D1054" s="8"/>
      <c r="E1054" s="8"/>
    </row>
    <row r="1055" spans="1:5" x14ac:dyDescent="0.25">
      <c r="A1055" s="1" t="s">
        <v>1045</v>
      </c>
      <c r="B1055" s="8">
        <v>46290</v>
      </c>
      <c r="C1055" s="8">
        <v>46148</v>
      </c>
      <c r="D1055" s="8">
        <v>45607</v>
      </c>
      <c r="E1055" s="8">
        <v>45290</v>
      </c>
    </row>
    <row r="1056" spans="1:5" x14ac:dyDescent="0.25">
      <c r="A1056" s="1" t="s">
        <v>1046</v>
      </c>
      <c r="B1056" s="8">
        <v>46267</v>
      </c>
      <c r="C1056" s="8">
        <v>46190</v>
      </c>
      <c r="D1056" s="8">
        <v>46009</v>
      </c>
      <c r="E1056" s="8">
        <v>45792</v>
      </c>
    </row>
    <row r="1057" spans="1:5" x14ac:dyDescent="0.25">
      <c r="A1057" s="1" t="s">
        <v>1048</v>
      </c>
      <c r="B1057" s="8">
        <v>46293</v>
      </c>
      <c r="C1057" s="8">
        <v>46125</v>
      </c>
      <c r="D1057" s="8">
        <v>45958</v>
      </c>
      <c r="E1057" s="8">
        <v>45803</v>
      </c>
    </row>
    <row r="1058" spans="1:5" x14ac:dyDescent="0.25">
      <c r="A1058" s="1" t="s">
        <v>1047</v>
      </c>
      <c r="B1058" s="8">
        <v>46207</v>
      </c>
      <c r="C1058" s="8">
        <v>46042</v>
      </c>
      <c r="D1058" s="8">
        <v>45545</v>
      </c>
      <c r="E1058" s="8">
        <v>45186</v>
      </c>
    </row>
    <row r="1059" spans="1:5" x14ac:dyDescent="0.25">
      <c r="A1059" s="1" t="s">
        <v>1050</v>
      </c>
      <c r="B1059" s="8">
        <v>46302</v>
      </c>
      <c r="C1059" s="8">
        <v>46135</v>
      </c>
      <c r="D1059" s="8">
        <v>45964</v>
      </c>
      <c r="E1059" s="8">
        <v>45855</v>
      </c>
    </row>
    <row r="1060" spans="1:5" x14ac:dyDescent="0.25">
      <c r="A1060" s="1" t="s">
        <v>1049</v>
      </c>
      <c r="B1060" s="8">
        <v>46269</v>
      </c>
      <c r="C1060" s="8">
        <v>46064</v>
      </c>
      <c r="D1060" s="8">
        <v>45968</v>
      </c>
      <c r="E1060" s="8">
        <v>45772</v>
      </c>
    </row>
    <row r="1061" spans="1:5" x14ac:dyDescent="0.25">
      <c r="A1061" s="1" t="s">
        <v>1051</v>
      </c>
      <c r="B1061" s="8">
        <v>46253</v>
      </c>
      <c r="C1061" s="8">
        <v>46029</v>
      </c>
      <c r="D1061" s="8">
        <v>45920</v>
      </c>
      <c r="E1061" s="8">
        <v>45741</v>
      </c>
    </row>
    <row r="1062" spans="1:5" x14ac:dyDescent="0.25">
      <c r="A1062" s="1" t="s">
        <v>1052</v>
      </c>
      <c r="B1062" s="8">
        <v>45958</v>
      </c>
      <c r="C1062" s="8">
        <v>45729</v>
      </c>
      <c r="D1062" s="8"/>
      <c r="E1062" s="8"/>
    </row>
    <row r="1063" spans="1:5" x14ac:dyDescent="0.25">
      <c r="A1063" s="1" t="s">
        <v>1053</v>
      </c>
      <c r="B1063" s="8">
        <v>46294</v>
      </c>
      <c r="C1063" s="8">
        <v>46100</v>
      </c>
      <c r="D1063" s="8">
        <v>45905</v>
      </c>
      <c r="E1063" s="8">
        <v>45772</v>
      </c>
    </row>
    <row r="1064" spans="1:5" x14ac:dyDescent="0.25">
      <c r="A1064" s="1" t="s">
        <v>1054</v>
      </c>
      <c r="B1064" s="8">
        <v>46135</v>
      </c>
      <c r="C1064" s="8">
        <v>46028</v>
      </c>
      <c r="D1064" s="8">
        <v>45131</v>
      </c>
      <c r="E1064" s="8"/>
    </row>
    <row r="1065" spans="1:5" x14ac:dyDescent="0.25">
      <c r="A1065" s="1" t="s">
        <v>1056</v>
      </c>
      <c r="B1065" s="8">
        <v>45190</v>
      </c>
      <c r="C1065" s="8">
        <v>45002</v>
      </c>
      <c r="D1065" s="8"/>
      <c r="E1065" s="8"/>
    </row>
    <row r="1066" spans="1:5" x14ac:dyDescent="0.25">
      <c r="A1066" s="1" t="s">
        <v>1055</v>
      </c>
      <c r="B1066" s="8">
        <v>46256</v>
      </c>
      <c r="C1066" s="8">
        <v>46062</v>
      </c>
      <c r="D1066" s="8">
        <v>45871</v>
      </c>
      <c r="E1066" s="8">
        <v>45320</v>
      </c>
    </row>
    <row r="1067" spans="1:5" x14ac:dyDescent="0.25">
      <c r="A1067" s="1" t="s">
        <v>1057</v>
      </c>
      <c r="B1067" s="8">
        <v>45163</v>
      </c>
      <c r="C1067" s="8">
        <v>45020</v>
      </c>
      <c r="D1067" s="8"/>
      <c r="E1067" s="8"/>
    </row>
    <row r="1068" spans="1:5" x14ac:dyDescent="0.25">
      <c r="A1068" s="1" t="s">
        <v>1058</v>
      </c>
      <c r="B1068" s="8">
        <v>45568</v>
      </c>
      <c r="C1068" s="8">
        <v>45348</v>
      </c>
      <c r="D1068" s="8">
        <v>45076</v>
      </c>
      <c r="E1068" s="8"/>
    </row>
    <row r="1069" spans="1:5" x14ac:dyDescent="0.25">
      <c r="A1069" s="1" t="s">
        <v>1059</v>
      </c>
      <c r="B1069" s="8">
        <v>45535</v>
      </c>
      <c r="C1069" s="8">
        <v>45366</v>
      </c>
      <c r="D1069" s="8">
        <v>45189</v>
      </c>
      <c r="E1069" s="8">
        <v>45013</v>
      </c>
    </row>
    <row r="1070" spans="1:5" x14ac:dyDescent="0.25">
      <c r="A1070" s="1" t="s">
        <v>1060</v>
      </c>
      <c r="B1070" s="8">
        <v>46212</v>
      </c>
      <c r="C1070" s="8">
        <v>45940</v>
      </c>
      <c r="D1070" s="8">
        <v>45885</v>
      </c>
      <c r="E1070" s="8">
        <v>45688</v>
      </c>
    </row>
    <row r="1071" spans="1:5" x14ac:dyDescent="0.25">
      <c r="A1071" s="1" t="s">
        <v>1062</v>
      </c>
      <c r="B1071" s="8">
        <v>46067</v>
      </c>
      <c r="C1071" s="8">
        <v>45862</v>
      </c>
      <c r="D1071" s="8">
        <v>45201</v>
      </c>
      <c r="E1071" s="8">
        <v>45013</v>
      </c>
    </row>
    <row r="1072" spans="1:5" x14ac:dyDescent="0.25">
      <c r="A1072" s="1" t="s">
        <v>1061</v>
      </c>
      <c r="B1072" s="8">
        <v>45985</v>
      </c>
      <c r="C1072" s="8">
        <v>45784</v>
      </c>
      <c r="D1072" s="8">
        <v>45584</v>
      </c>
      <c r="E1072" s="8">
        <v>45414</v>
      </c>
    </row>
    <row r="1073" spans="1:5" x14ac:dyDescent="0.25">
      <c r="A1073" s="1" t="s">
        <v>1064</v>
      </c>
      <c r="B1073" s="8">
        <v>45199</v>
      </c>
      <c r="C1073" s="8">
        <v>44911</v>
      </c>
      <c r="D1073" s="8"/>
      <c r="E1073" s="8"/>
    </row>
    <row r="1074" spans="1:5" x14ac:dyDescent="0.25">
      <c r="A1074" s="1" t="s">
        <v>1063</v>
      </c>
      <c r="B1074" s="8">
        <v>45230</v>
      </c>
      <c r="C1074" s="8">
        <v>45021</v>
      </c>
      <c r="D1074" s="8"/>
      <c r="E1074" s="8"/>
    </row>
    <row r="1075" spans="1:5" x14ac:dyDescent="0.25">
      <c r="A1075" s="1" t="s">
        <v>1065</v>
      </c>
      <c r="B1075" s="8">
        <v>45165</v>
      </c>
      <c r="C1075" s="8">
        <v>44989</v>
      </c>
      <c r="D1075" s="8"/>
      <c r="E1075" s="8"/>
    </row>
    <row r="1076" spans="1:5" x14ac:dyDescent="0.25">
      <c r="A1076" s="1" t="s">
        <v>1066</v>
      </c>
      <c r="B1076" s="8">
        <v>45169</v>
      </c>
      <c r="C1076" s="8">
        <v>44987</v>
      </c>
      <c r="D1076" s="8"/>
      <c r="E1076" s="8"/>
    </row>
    <row r="1077" spans="1:5" x14ac:dyDescent="0.25">
      <c r="A1077" s="1" t="s">
        <v>1067</v>
      </c>
      <c r="B1077" s="8">
        <v>46128</v>
      </c>
      <c r="C1077" s="8">
        <v>46028</v>
      </c>
      <c r="D1077" s="8">
        <v>45827</v>
      </c>
      <c r="E1077" s="8">
        <v>45604</v>
      </c>
    </row>
    <row r="1078" spans="1:5" x14ac:dyDescent="0.25">
      <c r="A1078" s="1" t="s">
        <v>1068</v>
      </c>
      <c r="B1078" s="8"/>
      <c r="C1078" s="8"/>
      <c r="D1078" s="8"/>
      <c r="E1078" s="8"/>
    </row>
    <row r="1079" spans="1:5" x14ac:dyDescent="0.25">
      <c r="A1079" s="1" t="s">
        <v>1070</v>
      </c>
      <c r="B1079" s="8">
        <v>45120</v>
      </c>
      <c r="C1079" s="8">
        <v>44956</v>
      </c>
      <c r="D1079" s="8"/>
      <c r="E1079" s="8"/>
    </row>
    <row r="1080" spans="1:5" x14ac:dyDescent="0.25">
      <c r="A1080" s="1" t="s">
        <v>1069</v>
      </c>
      <c r="B1080" s="8">
        <v>45120</v>
      </c>
      <c r="C1080" s="8">
        <v>44956</v>
      </c>
      <c r="D1080" s="8"/>
      <c r="E1080" s="8"/>
    </row>
    <row r="1081" spans="1:5" x14ac:dyDescent="0.25">
      <c r="A1081" s="1" t="s">
        <v>1071</v>
      </c>
      <c r="B1081" s="8">
        <v>45531</v>
      </c>
      <c r="C1081" s="8">
        <v>45373</v>
      </c>
      <c r="D1081" s="8">
        <v>45119</v>
      </c>
      <c r="E1081" s="8">
        <v>45013</v>
      </c>
    </row>
    <row r="1082" spans="1:5" x14ac:dyDescent="0.25">
      <c r="A1082" s="1" t="s">
        <v>1072</v>
      </c>
      <c r="B1082" s="8">
        <v>45904</v>
      </c>
      <c r="C1082" s="8">
        <v>45706</v>
      </c>
      <c r="D1082" s="8">
        <v>45555</v>
      </c>
      <c r="E1082" s="8">
        <v>45349</v>
      </c>
    </row>
    <row r="1083" spans="1:5" x14ac:dyDescent="0.25">
      <c r="A1083" s="1" t="s">
        <v>1074</v>
      </c>
      <c r="B1083" s="8">
        <v>46304</v>
      </c>
      <c r="C1083" s="8">
        <v>46232</v>
      </c>
      <c r="D1083" s="8">
        <v>46115</v>
      </c>
      <c r="E1083" s="8">
        <v>45964</v>
      </c>
    </row>
    <row r="1084" spans="1:5" x14ac:dyDescent="0.25">
      <c r="A1084" s="1" t="s">
        <v>1073</v>
      </c>
      <c r="B1084" s="8">
        <v>45489</v>
      </c>
      <c r="C1084" s="8">
        <v>45229</v>
      </c>
      <c r="D1084" s="8"/>
      <c r="E1084" s="8"/>
    </row>
    <row r="1085" spans="1:5" x14ac:dyDescent="0.25">
      <c r="A1085" s="1" t="s">
        <v>1075</v>
      </c>
      <c r="B1085" s="8">
        <v>45192</v>
      </c>
      <c r="C1085" s="8">
        <v>44989</v>
      </c>
      <c r="D1085" s="8"/>
      <c r="E1085" s="8"/>
    </row>
    <row r="1086" spans="1:5" x14ac:dyDescent="0.25">
      <c r="A1086" s="1" t="s">
        <v>1076</v>
      </c>
      <c r="B1086" s="8">
        <v>45119</v>
      </c>
      <c r="C1086" s="8">
        <v>44984</v>
      </c>
      <c r="D1086" s="8"/>
      <c r="E1086" s="8"/>
    </row>
    <row r="1087" spans="1:5" x14ac:dyDescent="0.25">
      <c r="A1087" s="1" t="s">
        <v>1077</v>
      </c>
      <c r="B1087" s="8">
        <v>46213</v>
      </c>
      <c r="C1087" s="8">
        <v>46059</v>
      </c>
      <c r="D1087" s="8">
        <v>45915</v>
      </c>
      <c r="E1087" s="8">
        <v>45705</v>
      </c>
    </row>
    <row r="1088" spans="1:5" x14ac:dyDescent="0.25">
      <c r="A1088" s="1" t="s">
        <v>1078</v>
      </c>
      <c r="B1088" s="8">
        <v>46225</v>
      </c>
      <c r="C1088" s="8">
        <v>46028</v>
      </c>
      <c r="D1088" s="8">
        <v>45863</v>
      </c>
      <c r="E1088" s="8">
        <v>45698</v>
      </c>
    </row>
    <row r="1089" spans="1:5" x14ac:dyDescent="0.25">
      <c r="A1089" s="1" t="s">
        <v>1079</v>
      </c>
      <c r="B1089" s="8">
        <v>45105</v>
      </c>
      <c r="C1089" s="8">
        <v>44964</v>
      </c>
      <c r="D1089" s="8"/>
      <c r="E1089" s="8"/>
    </row>
    <row r="1090" spans="1:5" x14ac:dyDescent="0.25">
      <c r="A1090" s="1" t="s">
        <v>1080</v>
      </c>
      <c r="B1090" s="8">
        <v>46231</v>
      </c>
      <c r="C1090" s="8">
        <v>45853</v>
      </c>
      <c r="D1090" s="8">
        <v>45654</v>
      </c>
      <c r="E1090" s="8">
        <v>45497</v>
      </c>
    </row>
    <row r="1091" spans="1:5" x14ac:dyDescent="0.25">
      <c r="A1091" s="1" t="s">
        <v>1081</v>
      </c>
      <c r="B1091" s="8">
        <v>45800</v>
      </c>
      <c r="C1091" s="8">
        <v>45613</v>
      </c>
      <c r="D1091" s="8">
        <v>45449</v>
      </c>
      <c r="E1091" s="8">
        <v>45294</v>
      </c>
    </row>
    <row r="1092" spans="1:5" x14ac:dyDescent="0.25">
      <c r="A1092" s="1" t="s">
        <v>1082</v>
      </c>
      <c r="B1092" s="8">
        <v>46275</v>
      </c>
      <c r="C1092" s="8">
        <v>46113</v>
      </c>
      <c r="D1092" s="8">
        <v>45855</v>
      </c>
      <c r="E1092" s="8">
        <v>45777</v>
      </c>
    </row>
    <row r="1093" spans="1:5" x14ac:dyDescent="0.25">
      <c r="A1093" s="1" t="s">
        <v>1083</v>
      </c>
      <c r="B1093" s="8">
        <v>45006</v>
      </c>
      <c r="C1093" s="8"/>
      <c r="D1093" s="8"/>
      <c r="E1093" s="8"/>
    </row>
    <row r="1094" spans="1:5" x14ac:dyDescent="0.25">
      <c r="A1094" s="1" t="s">
        <v>1084</v>
      </c>
      <c r="B1094" s="8">
        <v>46293</v>
      </c>
      <c r="C1094" s="8">
        <v>46293</v>
      </c>
      <c r="D1094" s="8">
        <v>45958</v>
      </c>
      <c r="E1094" s="8">
        <v>45933</v>
      </c>
    </row>
    <row r="1095" spans="1:5" x14ac:dyDescent="0.25">
      <c r="A1095" s="1" t="s">
        <v>1085</v>
      </c>
      <c r="B1095" s="8">
        <v>46260</v>
      </c>
      <c r="C1095" s="8">
        <v>46122</v>
      </c>
      <c r="D1095" s="8">
        <v>45915</v>
      </c>
      <c r="E1095" s="8">
        <v>45749</v>
      </c>
    </row>
    <row r="1096" spans="1:5" x14ac:dyDescent="0.25">
      <c r="A1096" s="1" t="s">
        <v>1086</v>
      </c>
      <c r="B1096" s="8">
        <v>45772</v>
      </c>
      <c r="C1096" s="8">
        <v>45681</v>
      </c>
      <c r="D1096" s="8">
        <v>45464</v>
      </c>
      <c r="E1096" s="8">
        <v>45463</v>
      </c>
    </row>
    <row r="1097" spans="1:5" x14ac:dyDescent="0.25">
      <c r="A1097" s="1" t="s">
        <v>1088</v>
      </c>
      <c r="B1097" s="8">
        <v>45134</v>
      </c>
      <c r="C1097" s="8"/>
      <c r="D1097" s="8"/>
      <c r="E1097" s="8"/>
    </row>
    <row r="1098" spans="1:5" x14ac:dyDescent="0.25">
      <c r="A1098" s="1" t="s">
        <v>1087</v>
      </c>
      <c r="B1098" s="8">
        <v>45134</v>
      </c>
      <c r="C1098" s="8"/>
      <c r="D1098" s="8"/>
      <c r="E1098" s="8"/>
    </row>
    <row r="1099" spans="1:5" x14ac:dyDescent="0.25">
      <c r="A1099" s="1" t="s">
        <v>1089</v>
      </c>
      <c r="B1099" s="8">
        <v>45021</v>
      </c>
      <c r="C1099" s="8">
        <v>44896</v>
      </c>
      <c r="D1099" s="8"/>
      <c r="E1099" s="8"/>
    </row>
    <row r="1100" spans="1:5" x14ac:dyDescent="0.25">
      <c r="A1100" s="1" t="s">
        <v>1090</v>
      </c>
      <c r="B1100" s="8">
        <v>46270</v>
      </c>
      <c r="C1100" s="8">
        <v>46093</v>
      </c>
      <c r="D1100" s="8">
        <v>45932</v>
      </c>
      <c r="E1100" s="8">
        <v>45630</v>
      </c>
    </row>
    <row r="1101" spans="1:5" x14ac:dyDescent="0.25">
      <c r="A1101" s="1" t="s">
        <v>1091</v>
      </c>
      <c r="B1101" s="8"/>
      <c r="C1101" s="8"/>
      <c r="D1101" s="8"/>
      <c r="E1101" s="8"/>
    </row>
    <row r="1102" spans="1:5" x14ac:dyDescent="0.25">
      <c r="A1102" s="1" t="s">
        <v>1092</v>
      </c>
      <c r="B1102" s="8">
        <v>46251</v>
      </c>
      <c r="C1102" s="8">
        <v>46071</v>
      </c>
      <c r="D1102" s="8">
        <v>45911</v>
      </c>
      <c r="E1102" s="8">
        <v>45629</v>
      </c>
    </row>
    <row r="1103" spans="1:5" x14ac:dyDescent="0.25">
      <c r="A1103" s="1" t="s">
        <v>1094</v>
      </c>
      <c r="B1103" s="8">
        <v>45121</v>
      </c>
      <c r="C1103" s="8">
        <v>44959</v>
      </c>
      <c r="D1103" s="8"/>
      <c r="E1103" s="8"/>
    </row>
    <row r="1104" spans="1:5" x14ac:dyDescent="0.25">
      <c r="A1104" s="1" t="s">
        <v>1093</v>
      </c>
      <c r="B1104" s="8">
        <v>45107</v>
      </c>
      <c r="C1104" s="8">
        <v>44924</v>
      </c>
      <c r="D1104" s="8"/>
      <c r="E1104" s="8"/>
    </row>
    <row r="1105" spans="1:5" x14ac:dyDescent="0.25">
      <c r="A1105" s="1" t="s">
        <v>1095</v>
      </c>
      <c r="B1105" s="8">
        <v>46260</v>
      </c>
      <c r="C1105" s="8">
        <v>46122</v>
      </c>
      <c r="D1105" s="8">
        <v>45915</v>
      </c>
      <c r="E1105" s="8">
        <v>45749</v>
      </c>
    </row>
    <row r="1106" spans="1:5" x14ac:dyDescent="0.25">
      <c r="A1106" s="1" t="s">
        <v>1096</v>
      </c>
      <c r="B1106" s="8">
        <v>46275</v>
      </c>
      <c r="C1106" s="8">
        <v>46170</v>
      </c>
      <c r="D1106" s="8">
        <v>45944</v>
      </c>
      <c r="E1106" s="8">
        <v>45777</v>
      </c>
    </row>
    <row r="1107" spans="1:5" x14ac:dyDescent="0.25">
      <c r="A1107" s="1" t="s">
        <v>1099</v>
      </c>
      <c r="B1107" s="8">
        <v>46311</v>
      </c>
      <c r="C1107" s="8">
        <v>46148</v>
      </c>
      <c r="D1107" s="8">
        <v>45944</v>
      </c>
      <c r="E1107" s="8">
        <v>45782</v>
      </c>
    </row>
    <row r="1108" spans="1:5" x14ac:dyDescent="0.25">
      <c r="A1108" s="1" t="s">
        <v>1100</v>
      </c>
      <c r="B1108" s="8">
        <v>45846</v>
      </c>
      <c r="C1108" s="8">
        <v>45681</v>
      </c>
      <c r="D1108" s="8">
        <v>45233</v>
      </c>
      <c r="E1108" s="8">
        <v>45034</v>
      </c>
    </row>
    <row r="1109" spans="1:5" x14ac:dyDescent="0.25">
      <c r="A1109" s="1" t="s">
        <v>1098</v>
      </c>
      <c r="B1109" s="8">
        <v>46221</v>
      </c>
      <c r="C1109" s="8">
        <v>46029</v>
      </c>
      <c r="D1109" s="8">
        <v>45846</v>
      </c>
      <c r="E1109" s="8">
        <v>45681</v>
      </c>
    </row>
    <row r="1110" spans="1:5" x14ac:dyDescent="0.25">
      <c r="A1110" s="1" t="s">
        <v>1097</v>
      </c>
      <c r="B1110" s="8">
        <v>45820</v>
      </c>
      <c r="C1110" s="8">
        <v>45686</v>
      </c>
      <c r="D1110" s="8">
        <v>45535</v>
      </c>
      <c r="E1110" s="8">
        <v>45366</v>
      </c>
    </row>
    <row r="1111" spans="1:5" x14ac:dyDescent="0.25">
      <c r="A1111" s="1" t="s">
        <v>1101</v>
      </c>
      <c r="B1111" s="8">
        <v>46231</v>
      </c>
      <c r="C1111" s="8">
        <v>46002</v>
      </c>
      <c r="D1111" s="8">
        <v>45897</v>
      </c>
      <c r="E1111" s="8">
        <v>45107</v>
      </c>
    </row>
    <row r="1112" spans="1:5" x14ac:dyDescent="0.25">
      <c r="A1112" s="1" t="s">
        <v>1102</v>
      </c>
      <c r="B1112" s="8">
        <v>45159</v>
      </c>
      <c r="C1112" s="8">
        <v>44960</v>
      </c>
      <c r="D1112" s="8"/>
      <c r="E1112" s="8"/>
    </row>
    <row r="1113" spans="1:5" x14ac:dyDescent="0.25">
      <c r="A1113" s="1" t="s">
        <v>1103</v>
      </c>
      <c r="B1113" s="8">
        <v>45121</v>
      </c>
      <c r="C1113" s="8">
        <v>44959</v>
      </c>
      <c r="D1113" s="8"/>
      <c r="E1113" s="8"/>
    </row>
    <row r="1114" spans="1:5" x14ac:dyDescent="0.25">
      <c r="A1114" s="1" t="s">
        <v>1104</v>
      </c>
      <c r="B1114" s="8">
        <v>45457</v>
      </c>
      <c r="C1114" s="8">
        <v>45302</v>
      </c>
      <c r="D1114" s="8">
        <v>45121</v>
      </c>
      <c r="E1114" s="8">
        <v>44959</v>
      </c>
    </row>
    <row r="1115" spans="1:5" x14ac:dyDescent="0.25">
      <c r="A1115" s="1" t="s">
        <v>1105</v>
      </c>
      <c r="B1115" s="8">
        <v>46149</v>
      </c>
      <c r="C1115" s="8">
        <v>45967</v>
      </c>
      <c r="D1115" s="8">
        <v>44979</v>
      </c>
      <c r="E1115" s="8"/>
    </row>
    <row r="1116" spans="1:5" x14ac:dyDescent="0.25">
      <c r="A1116" s="1" t="s">
        <v>1106</v>
      </c>
      <c r="B1116" s="8">
        <v>45140</v>
      </c>
      <c r="C1116" s="8">
        <v>44960</v>
      </c>
      <c r="D1116" s="8"/>
      <c r="E1116" s="8"/>
    </row>
    <row r="1117" spans="1:5" x14ac:dyDescent="0.25">
      <c r="A1117" s="1" t="s">
        <v>1107</v>
      </c>
      <c r="B1117" s="8">
        <v>46156</v>
      </c>
      <c r="C1117" s="8">
        <v>45987</v>
      </c>
      <c r="D1117" s="8">
        <v>45769</v>
      </c>
      <c r="E1117" s="8">
        <v>45623</v>
      </c>
    </row>
    <row r="1118" spans="1:5" x14ac:dyDescent="0.25">
      <c r="A1118" s="1" t="s">
        <v>1108</v>
      </c>
      <c r="B1118" s="8">
        <v>46147</v>
      </c>
      <c r="C1118" s="8">
        <v>46020</v>
      </c>
      <c r="D1118" s="8">
        <v>45713</v>
      </c>
      <c r="E1118" s="8">
        <v>45601</v>
      </c>
    </row>
    <row r="1119" spans="1:5" x14ac:dyDescent="0.25">
      <c r="A1119" s="1" t="s">
        <v>1109</v>
      </c>
      <c r="B1119" s="8">
        <v>46269</v>
      </c>
      <c r="C1119" s="8">
        <v>46129</v>
      </c>
      <c r="D1119" s="8">
        <v>45926</v>
      </c>
      <c r="E1119" s="8">
        <v>45709</v>
      </c>
    </row>
    <row r="1120" spans="1:5" x14ac:dyDescent="0.25">
      <c r="A1120" s="1" t="s">
        <v>1110</v>
      </c>
      <c r="B1120" s="8">
        <v>45763</v>
      </c>
      <c r="C1120" s="8">
        <v>45639</v>
      </c>
      <c r="D1120" s="8">
        <v>45435</v>
      </c>
      <c r="E1120" s="8">
        <v>45293</v>
      </c>
    </row>
    <row r="1121" spans="1:5" x14ac:dyDescent="0.25">
      <c r="A1121" s="1" t="s">
        <v>1111</v>
      </c>
      <c r="B1121" s="8">
        <v>45455</v>
      </c>
      <c r="C1121" s="8">
        <v>45250</v>
      </c>
      <c r="D1121" s="8">
        <v>45080</v>
      </c>
      <c r="E1121" s="8">
        <v>44903</v>
      </c>
    </row>
    <row r="1122" spans="1:5" x14ac:dyDescent="0.25">
      <c r="A1122" s="1" t="s">
        <v>1112</v>
      </c>
      <c r="B1122" s="8">
        <v>45219</v>
      </c>
      <c r="C1122" s="8">
        <v>45055</v>
      </c>
      <c r="D1122" s="8">
        <v>44923</v>
      </c>
      <c r="E1122" s="8"/>
    </row>
    <row r="1123" spans="1:5" x14ac:dyDescent="0.25">
      <c r="A1123" s="1" t="s">
        <v>1113</v>
      </c>
      <c r="B1123" s="8">
        <v>46252</v>
      </c>
      <c r="C1123" s="8">
        <v>46031</v>
      </c>
      <c r="D1123" s="8">
        <v>45873</v>
      </c>
      <c r="E1123" s="8">
        <v>45857</v>
      </c>
    </row>
    <row r="1124" spans="1:5" x14ac:dyDescent="0.25">
      <c r="A1124" s="1" t="s">
        <v>1114</v>
      </c>
      <c r="B1124" s="8">
        <v>45813</v>
      </c>
      <c r="C1124" s="8">
        <v>45707</v>
      </c>
      <c r="D1124" s="8">
        <v>45544</v>
      </c>
      <c r="E1124" s="8">
        <v>45314</v>
      </c>
    </row>
    <row r="1125" spans="1:5" x14ac:dyDescent="0.25">
      <c r="A1125" s="1" t="s">
        <v>1115</v>
      </c>
      <c r="B1125" s="8">
        <v>46200</v>
      </c>
      <c r="C1125" s="8">
        <v>45993</v>
      </c>
      <c r="D1125" s="8">
        <v>45335</v>
      </c>
      <c r="E1125" s="8">
        <v>45197</v>
      </c>
    </row>
    <row r="1126" spans="1:5" x14ac:dyDescent="0.25">
      <c r="A1126" s="1" t="s">
        <v>1116</v>
      </c>
      <c r="B1126" s="8">
        <v>46150</v>
      </c>
      <c r="C1126" s="8">
        <v>45912</v>
      </c>
      <c r="D1126" s="8">
        <v>45588</v>
      </c>
      <c r="E1126" s="8">
        <v>45454</v>
      </c>
    </row>
    <row r="1127" spans="1:5" x14ac:dyDescent="0.25">
      <c r="A1127" s="1" t="s">
        <v>1117</v>
      </c>
      <c r="B1127" s="8">
        <v>45697</v>
      </c>
      <c r="C1127" s="8">
        <v>45442</v>
      </c>
      <c r="D1127" s="8">
        <v>45104</v>
      </c>
      <c r="E1127" s="8">
        <v>44925</v>
      </c>
    </row>
    <row r="1128" spans="1:5" x14ac:dyDescent="0.25">
      <c r="A1128" s="1" t="s">
        <v>1118</v>
      </c>
      <c r="B1128" s="8">
        <v>46233</v>
      </c>
      <c r="C1128" s="8">
        <v>46111</v>
      </c>
      <c r="D1128" s="8">
        <v>46078</v>
      </c>
      <c r="E1128" s="8">
        <v>45983</v>
      </c>
    </row>
    <row r="1129" spans="1:5" x14ac:dyDescent="0.25">
      <c r="A1129" s="1" t="s">
        <v>1119</v>
      </c>
      <c r="B1129" s="8">
        <v>45555</v>
      </c>
      <c r="C1129" s="8">
        <v>45420</v>
      </c>
      <c r="D1129" s="8">
        <v>45082</v>
      </c>
      <c r="E1129" s="8"/>
    </row>
    <row r="1130" spans="1:5" x14ac:dyDescent="0.25">
      <c r="A1130" s="1" t="s">
        <v>1120</v>
      </c>
      <c r="B1130" s="8">
        <v>45714</v>
      </c>
      <c r="C1130" s="8">
        <v>45498</v>
      </c>
      <c r="D1130" s="8">
        <v>45049</v>
      </c>
      <c r="E1130" s="8">
        <v>45030</v>
      </c>
    </row>
    <row r="1131" spans="1:5" x14ac:dyDescent="0.25">
      <c r="A1131" s="1" t="s">
        <v>1121</v>
      </c>
      <c r="B1131" s="8">
        <v>46196</v>
      </c>
      <c r="C1131" s="8">
        <v>46009</v>
      </c>
      <c r="D1131" s="8">
        <v>45804</v>
      </c>
      <c r="E1131" s="8">
        <v>45625</v>
      </c>
    </row>
    <row r="1132" spans="1:5" x14ac:dyDescent="0.25">
      <c r="A1132" s="1" t="s">
        <v>1122</v>
      </c>
      <c r="B1132" s="8">
        <v>46283</v>
      </c>
      <c r="C1132" s="8">
        <v>46105</v>
      </c>
      <c r="D1132" s="8">
        <v>45909</v>
      </c>
      <c r="E1132" s="8">
        <v>45784</v>
      </c>
    </row>
    <row r="1133" spans="1:5" x14ac:dyDescent="0.25">
      <c r="A1133" s="1" t="s">
        <v>1123</v>
      </c>
      <c r="B1133" s="8">
        <v>45021</v>
      </c>
      <c r="C1133" s="8">
        <v>44896</v>
      </c>
      <c r="D1133" s="8"/>
      <c r="E1133" s="8"/>
    </row>
    <row r="1134" spans="1:5" x14ac:dyDescent="0.25">
      <c r="A1134" s="1" t="s">
        <v>1124</v>
      </c>
      <c r="B1134" s="8">
        <v>46265</v>
      </c>
      <c r="C1134" s="8">
        <v>46083</v>
      </c>
      <c r="D1134" s="8">
        <v>45889</v>
      </c>
      <c r="E1134" s="8">
        <v>45727</v>
      </c>
    </row>
    <row r="1135" spans="1:5" x14ac:dyDescent="0.25">
      <c r="A1135" s="1" t="s">
        <v>1125</v>
      </c>
      <c r="B1135" s="8">
        <v>46241</v>
      </c>
      <c r="C1135" s="8">
        <v>45967</v>
      </c>
      <c r="D1135" s="8">
        <v>45825</v>
      </c>
      <c r="E1135" s="8">
        <v>45728</v>
      </c>
    </row>
    <row r="1136" spans="1:5" x14ac:dyDescent="0.25">
      <c r="A1136" s="1" t="s">
        <v>1126</v>
      </c>
      <c r="B1136" s="8">
        <v>46138</v>
      </c>
      <c r="C1136" s="8">
        <v>46025</v>
      </c>
      <c r="D1136" s="8">
        <v>45790</v>
      </c>
      <c r="E1136" s="8">
        <v>45601</v>
      </c>
    </row>
    <row r="1137" spans="1:5" x14ac:dyDescent="0.25">
      <c r="A1137" s="1" t="s">
        <v>1127</v>
      </c>
      <c r="B1137" s="8">
        <v>45066</v>
      </c>
      <c r="C1137" s="8">
        <v>44888</v>
      </c>
      <c r="D1137" s="8"/>
      <c r="E1137" s="8"/>
    </row>
    <row r="1138" spans="1:5" x14ac:dyDescent="0.25">
      <c r="A1138" s="1" t="s">
        <v>1128</v>
      </c>
      <c r="B1138" s="8">
        <v>46161</v>
      </c>
      <c r="C1138" s="8">
        <v>45981</v>
      </c>
      <c r="D1138" s="8">
        <v>45777</v>
      </c>
      <c r="E1138" s="8">
        <v>45604</v>
      </c>
    </row>
    <row r="1139" spans="1:5" x14ac:dyDescent="0.25">
      <c r="A1139" s="1" t="s">
        <v>1129</v>
      </c>
      <c r="B1139" s="8">
        <v>46179</v>
      </c>
      <c r="C1139" s="8">
        <v>45924</v>
      </c>
      <c r="D1139" s="8">
        <v>45757</v>
      </c>
      <c r="E1139" s="8">
        <v>45600</v>
      </c>
    </row>
    <row r="1140" spans="1:5" x14ac:dyDescent="0.25">
      <c r="A1140" s="1" t="s">
        <v>1130</v>
      </c>
      <c r="B1140" s="8">
        <v>46196</v>
      </c>
      <c r="C1140" s="8">
        <v>46093</v>
      </c>
      <c r="D1140" s="8">
        <v>45898</v>
      </c>
      <c r="E1140" s="8">
        <v>45628</v>
      </c>
    </row>
    <row r="1141" spans="1:5" x14ac:dyDescent="0.25">
      <c r="A1141" s="1" t="s">
        <v>1131</v>
      </c>
      <c r="B1141" s="8">
        <v>46196</v>
      </c>
      <c r="C1141" s="8">
        <v>45992</v>
      </c>
      <c r="D1141" s="8">
        <v>44987</v>
      </c>
      <c r="E1141" s="8"/>
    </row>
    <row r="1142" spans="1:5" x14ac:dyDescent="0.25">
      <c r="A1142" s="1" t="s">
        <v>1132</v>
      </c>
      <c r="B1142" s="8">
        <v>46321</v>
      </c>
      <c r="C1142" s="8">
        <v>46046</v>
      </c>
      <c r="D1142" s="8">
        <v>45818</v>
      </c>
      <c r="E1142" s="8">
        <v>45614</v>
      </c>
    </row>
    <row r="1143" spans="1:5" x14ac:dyDescent="0.25">
      <c r="A1143" s="1" t="s">
        <v>1133</v>
      </c>
      <c r="B1143" s="8">
        <v>46134</v>
      </c>
      <c r="C1143" s="8">
        <v>45960</v>
      </c>
      <c r="D1143" s="8">
        <v>45766</v>
      </c>
      <c r="E1143" s="8">
        <v>45619</v>
      </c>
    </row>
    <row r="1144" spans="1:5" x14ac:dyDescent="0.25">
      <c r="A1144" s="1" t="s">
        <v>1134</v>
      </c>
      <c r="B1144" s="8">
        <v>45675</v>
      </c>
      <c r="C1144" s="8">
        <v>45494</v>
      </c>
      <c r="D1144" s="8">
        <v>45045</v>
      </c>
      <c r="E1144" s="8">
        <v>44887</v>
      </c>
    </row>
    <row r="1145" spans="1:5" x14ac:dyDescent="0.25">
      <c r="A1145" s="1" t="s">
        <v>1135</v>
      </c>
      <c r="B1145" s="8">
        <v>46199</v>
      </c>
      <c r="C1145" s="8">
        <v>45993</v>
      </c>
      <c r="D1145" s="8">
        <v>45835</v>
      </c>
      <c r="E1145" s="8">
        <v>45738</v>
      </c>
    </row>
    <row r="1146" spans="1:5" x14ac:dyDescent="0.25">
      <c r="A1146" s="1" t="s">
        <v>1136</v>
      </c>
      <c r="B1146" s="8">
        <v>46284</v>
      </c>
      <c r="C1146" s="8">
        <v>46136</v>
      </c>
      <c r="D1146" s="8">
        <v>45849</v>
      </c>
      <c r="E1146" s="8">
        <v>45735</v>
      </c>
    </row>
    <row r="1147" spans="1:5" x14ac:dyDescent="0.25">
      <c r="A1147" s="1" t="s">
        <v>1137</v>
      </c>
      <c r="B1147" s="8">
        <v>44956</v>
      </c>
      <c r="C1147" s="8"/>
      <c r="D1147" s="8"/>
      <c r="E1147" s="8"/>
    </row>
    <row r="1148" spans="1:5" x14ac:dyDescent="0.25">
      <c r="A1148" s="1" t="s">
        <v>1138</v>
      </c>
      <c r="B1148" s="8">
        <v>45700</v>
      </c>
      <c r="C1148" s="8">
        <v>45404</v>
      </c>
      <c r="D1148" s="8">
        <v>45253</v>
      </c>
      <c r="E1148" s="8">
        <v>45083</v>
      </c>
    </row>
    <row r="1149" spans="1:5" x14ac:dyDescent="0.25">
      <c r="A1149" s="1" t="s">
        <v>1139</v>
      </c>
      <c r="B1149" s="8"/>
      <c r="C1149" s="8"/>
      <c r="D1149" s="8"/>
      <c r="E1149" s="8"/>
    </row>
    <row r="1150" spans="1:5" x14ac:dyDescent="0.25">
      <c r="A1150" s="1" t="s">
        <v>1140</v>
      </c>
      <c r="B1150" s="8">
        <v>45697</v>
      </c>
      <c r="C1150" s="8">
        <v>45532</v>
      </c>
      <c r="D1150" s="8">
        <v>45110</v>
      </c>
      <c r="E1150" s="8">
        <v>45023</v>
      </c>
    </row>
    <row r="1151" spans="1:5" x14ac:dyDescent="0.25">
      <c r="A1151" s="1" t="s">
        <v>1141</v>
      </c>
      <c r="B1151" s="8">
        <v>45622</v>
      </c>
      <c r="C1151" s="8">
        <v>45406</v>
      </c>
      <c r="D1151" s="8">
        <v>45017</v>
      </c>
      <c r="E1151" s="8">
        <v>44866</v>
      </c>
    </row>
    <row r="1152" spans="1:5" x14ac:dyDescent="0.25">
      <c r="A1152" s="1" t="s">
        <v>1142</v>
      </c>
      <c r="B1152" s="8">
        <v>46241</v>
      </c>
      <c r="C1152" s="8">
        <v>45967</v>
      </c>
      <c r="D1152" s="8">
        <v>45428</v>
      </c>
      <c r="E1152" s="8">
        <v>45295</v>
      </c>
    </row>
    <row r="1153" spans="1:5" x14ac:dyDescent="0.25">
      <c r="A1153" s="1" t="s">
        <v>1143</v>
      </c>
      <c r="B1153" s="8">
        <v>46321</v>
      </c>
      <c r="C1153" s="8">
        <v>46156</v>
      </c>
      <c r="D1153" s="8">
        <v>45916</v>
      </c>
      <c r="E1153" s="8">
        <v>45737</v>
      </c>
    </row>
    <row r="1154" spans="1:5" x14ac:dyDescent="0.25">
      <c r="A1154" s="1" t="s">
        <v>1145</v>
      </c>
      <c r="B1154" s="8">
        <v>44989</v>
      </c>
      <c r="C1154" s="8">
        <v>44834</v>
      </c>
      <c r="D1154" s="8"/>
      <c r="E1154" s="8"/>
    </row>
    <row r="1155" spans="1:5" x14ac:dyDescent="0.25">
      <c r="A1155" s="1" t="s">
        <v>1144</v>
      </c>
      <c r="B1155" s="8">
        <v>44989</v>
      </c>
      <c r="C1155" s="8">
        <v>44834</v>
      </c>
      <c r="D1155" s="8"/>
      <c r="E1155" s="8"/>
    </row>
    <row r="1156" spans="1:5" x14ac:dyDescent="0.25">
      <c r="A1156" s="1" t="s">
        <v>1146</v>
      </c>
      <c r="B1156" s="8">
        <v>46280</v>
      </c>
      <c r="C1156" s="8">
        <v>46111</v>
      </c>
      <c r="D1156" s="8">
        <v>45905</v>
      </c>
      <c r="E1156" s="8">
        <v>45740</v>
      </c>
    </row>
    <row r="1157" spans="1:5" x14ac:dyDescent="0.25">
      <c r="A1157" s="1" t="s">
        <v>1147</v>
      </c>
      <c r="B1157" s="8">
        <v>45005</v>
      </c>
      <c r="C1157" s="8"/>
      <c r="D1157" s="8"/>
      <c r="E1157" s="8"/>
    </row>
    <row r="1158" spans="1:5" x14ac:dyDescent="0.25">
      <c r="A1158" s="1" t="s">
        <v>1148</v>
      </c>
      <c r="B1158" s="8">
        <v>45734</v>
      </c>
      <c r="C1158" s="8">
        <v>45535</v>
      </c>
      <c r="D1158" s="8">
        <v>45436</v>
      </c>
      <c r="E1158" s="8">
        <v>45356</v>
      </c>
    </row>
    <row r="1159" spans="1:5" x14ac:dyDescent="0.25">
      <c r="A1159" s="1" t="s">
        <v>1151</v>
      </c>
      <c r="B1159" s="8">
        <v>46251</v>
      </c>
      <c r="C1159" s="8">
        <v>46058</v>
      </c>
      <c r="D1159" s="8">
        <v>45945</v>
      </c>
      <c r="E1159" s="8">
        <v>45740</v>
      </c>
    </row>
    <row r="1160" spans="1:5" x14ac:dyDescent="0.25">
      <c r="A1160" s="1" t="s">
        <v>1149</v>
      </c>
      <c r="B1160" s="8">
        <v>46309</v>
      </c>
      <c r="C1160" s="8">
        <v>46058</v>
      </c>
      <c r="D1160" s="8">
        <v>45902</v>
      </c>
      <c r="E1160" s="8">
        <v>45740</v>
      </c>
    </row>
    <row r="1161" spans="1:5" x14ac:dyDescent="0.25">
      <c r="A1161" s="1" t="s">
        <v>1150</v>
      </c>
      <c r="B1161" s="8">
        <v>46251</v>
      </c>
      <c r="C1161" s="8">
        <v>46058</v>
      </c>
      <c r="D1161" s="8">
        <v>45945</v>
      </c>
      <c r="E1161" s="8">
        <v>45740</v>
      </c>
    </row>
    <row r="1162" spans="1:5" x14ac:dyDescent="0.25">
      <c r="A1162" s="1" t="s">
        <v>1152</v>
      </c>
      <c r="B1162" s="8">
        <v>46321</v>
      </c>
      <c r="C1162" s="8">
        <v>46154</v>
      </c>
      <c r="D1162" s="8">
        <v>45920</v>
      </c>
      <c r="E1162" s="8">
        <v>45737</v>
      </c>
    </row>
    <row r="1163" spans="1:5" x14ac:dyDescent="0.25">
      <c r="A1163" s="1" t="s">
        <v>1153</v>
      </c>
      <c r="B1163" s="8">
        <v>44973</v>
      </c>
      <c r="C1163" s="8"/>
      <c r="D1163" s="8"/>
      <c r="E1163" s="8"/>
    </row>
    <row r="1164" spans="1:5" x14ac:dyDescent="0.25">
      <c r="A1164" s="1" t="s">
        <v>1154</v>
      </c>
      <c r="B1164" s="8">
        <v>46155</v>
      </c>
      <c r="C1164" s="8">
        <v>46009</v>
      </c>
      <c r="D1164" s="8">
        <v>45855</v>
      </c>
      <c r="E1164" s="8">
        <v>45614</v>
      </c>
    </row>
    <row r="1165" spans="1:5" x14ac:dyDescent="0.25">
      <c r="A1165" s="1" t="s">
        <v>1155</v>
      </c>
      <c r="B1165" s="8">
        <v>46134</v>
      </c>
      <c r="C1165" s="8">
        <v>45945</v>
      </c>
      <c r="D1165" s="8">
        <v>45723</v>
      </c>
      <c r="E1165" s="8">
        <v>45498</v>
      </c>
    </row>
    <row r="1166" spans="1:5" x14ac:dyDescent="0.25">
      <c r="A1166" s="1" t="s">
        <v>1156</v>
      </c>
      <c r="B1166" s="8">
        <v>46198</v>
      </c>
      <c r="C1166" s="8">
        <v>46108</v>
      </c>
      <c r="D1166" s="8">
        <v>45925</v>
      </c>
      <c r="E1166" s="8">
        <v>45714</v>
      </c>
    </row>
    <row r="1167" spans="1:5" x14ac:dyDescent="0.25">
      <c r="A1167" s="1" t="s">
        <v>1157</v>
      </c>
      <c r="B1167" s="8">
        <v>46161</v>
      </c>
      <c r="C1167" s="8">
        <v>45960</v>
      </c>
      <c r="D1167" s="8">
        <v>45785</v>
      </c>
      <c r="E1167" s="8">
        <v>45640</v>
      </c>
    </row>
    <row r="1168" spans="1:5" x14ac:dyDescent="0.25">
      <c r="A1168" s="1" t="s">
        <v>1158</v>
      </c>
      <c r="B1168" s="8">
        <v>46239</v>
      </c>
      <c r="C1168" s="8">
        <v>46113</v>
      </c>
      <c r="D1168" s="8">
        <v>45834</v>
      </c>
      <c r="E1168" s="8">
        <v>45661</v>
      </c>
    </row>
    <row r="1169" spans="1:5" x14ac:dyDescent="0.25">
      <c r="A1169" s="1" t="s">
        <v>1161</v>
      </c>
      <c r="B1169" s="8">
        <v>46114</v>
      </c>
      <c r="C1169" s="8">
        <v>45918</v>
      </c>
      <c r="D1169" s="8">
        <v>45700</v>
      </c>
      <c r="E1169" s="8">
        <v>45450</v>
      </c>
    </row>
    <row r="1170" spans="1:5" x14ac:dyDescent="0.25">
      <c r="A1170" s="1" t="s">
        <v>1160</v>
      </c>
      <c r="B1170" s="8">
        <v>45001</v>
      </c>
      <c r="C1170" s="8">
        <v>44825</v>
      </c>
      <c r="D1170" s="8"/>
      <c r="E1170" s="8"/>
    </row>
    <row r="1171" spans="1:5" x14ac:dyDescent="0.25">
      <c r="A1171" s="1" t="s">
        <v>1159</v>
      </c>
      <c r="B1171" s="8"/>
      <c r="C1171" s="8"/>
      <c r="D1171" s="8"/>
      <c r="E1171" s="8"/>
    </row>
    <row r="1172" spans="1:5" x14ac:dyDescent="0.25">
      <c r="A1172" s="1" t="s">
        <v>1162</v>
      </c>
      <c r="B1172" s="8">
        <v>46259</v>
      </c>
      <c r="C1172" s="8">
        <v>46028</v>
      </c>
      <c r="D1172" s="8">
        <v>45863</v>
      </c>
      <c r="E1172" s="8">
        <v>45698</v>
      </c>
    </row>
    <row r="1173" spans="1:5" x14ac:dyDescent="0.25">
      <c r="A1173" s="1" t="s">
        <v>1163</v>
      </c>
      <c r="B1173" s="8">
        <v>46135</v>
      </c>
      <c r="C1173" s="8">
        <v>45960</v>
      </c>
      <c r="D1173" s="8">
        <v>45768</v>
      </c>
      <c r="E1173" s="8">
        <v>45583</v>
      </c>
    </row>
    <row r="1174" spans="1:5" x14ac:dyDescent="0.25">
      <c r="A1174" s="1" t="s">
        <v>1165</v>
      </c>
      <c r="B1174" s="8">
        <v>46274</v>
      </c>
      <c r="C1174" s="8">
        <v>46102</v>
      </c>
      <c r="D1174" s="8">
        <v>45877</v>
      </c>
      <c r="E1174" s="8">
        <v>45869</v>
      </c>
    </row>
    <row r="1175" spans="1:5" x14ac:dyDescent="0.25">
      <c r="A1175" s="1" t="s">
        <v>1164</v>
      </c>
      <c r="B1175" s="8">
        <v>46320</v>
      </c>
      <c r="C1175" s="8">
        <v>46159</v>
      </c>
      <c r="D1175" s="8">
        <v>45995</v>
      </c>
      <c r="E1175" s="8">
        <v>45857</v>
      </c>
    </row>
    <row r="1176" spans="1:5" x14ac:dyDescent="0.25">
      <c r="A1176" s="1" t="s">
        <v>1166</v>
      </c>
      <c r="B1176" s="8">
        <v>46237</v>
      </c>
      <c r="C1176" s="8">
        <v>46059</v>
      </c>
      <c r="D1176" s="8">
        <v>45867</v>
      </c>
      <c r="E1176" s="8">
        <v>45685</v>
      </c>
    </row>
    <row r="1177" spans="1:5" x14ac:dyDescent="0.25">
      <c r="A1177" s="1" t="s">
        <v>1167</v>
      </c>
      <c r="B1177" s="8"/>
      <c r="C1177" s="8"/>
      <c r="D1177" s="8"/>
      <c r="E1177" s="8"/>
    </row>
    <row r="1178" spans="1:5" x14ac:dyDescent="0.25">
      <c r="A1178" s="1" t="s">
        <v>1168</v>
      </c>
      <c r="B1178" s="8">
        <v>45917</v>
      </c>
      <c r="C1178" s="8">
        <v>45792</v>
      </c>
      <c r="D1178" s="8">
        <v>45589</v>
      </c>
      <c r="E1178" s="8">
        <v>45357</v>
      </c>
    </row>
    <row r="1179" spans="1:5" x14ac:dyDescent="0.25">
      <c r="A1179" s="1" t="s">
        <v>1169</v>
      </c>
      <c r="B1179" s="8">
        <v>45311</v>
      </c>
      <c r="C1179" s="8">
        <v>45159</v>
      </c>
      <c r="D1179" s="8">
        <v>45075</v>
      </c>
      <c r="E1179" s="8">
        <v>44960</v>
      </c>
    </row>
    <row r="1180" spans="1:5" x14ac:dyDescent="0.25">
      <c r="A1180" s="1" t="s">
        <v>1170</v>
      </c>
      <c r="B1180" s="8">
        <v>45629</v>
      </c>
      <c r="C1180" s="8">
        <v>45388</v>
      </c>
      <c r="D1180" s="8">
        <v>45163</v>
      </c>
      <c r="E1180" s="8">
        <v>44895</v>
      </c>
    </row>
    <row r="1181" spans="1:5" x14ac:dyDescent="0.25">
      <c r="A1181" s="1" t="s">
        <v>1171</v>
      </c>
      <c r="B1181" s="8"/>
      <c r="C1181" s="8"/>
      <c r="D1181" s="8"/>
      <c r="E1181" s="8"/>
    </row>
    <row r="1182" spans="1:5" x14ac:dyDescent="0.25">
      <c r="A1182" s="1" t="s">
        <v>1172</v>
      </c>
      <c r="B1182" s="8">
        <v>46205</v>
      </c>
      <c r="C1182" s="8">
        <v>46029</v>
      </c>
      <c r="D1182" s="8">
        <v>45846</v>
      </c>
      <c r="E1182" s="8">
        <v>45660</v>
      </c>
    </row>
    <row r="1183" spans="1:5" x14ac:dyDescent="0.25">
      <c r="A1183" s="1" t="s">
        <v>1174</v>
      </c>
      <c r="B1183" s="8">
        <v>46225</v>
      </c>
      <c r="C1183" s="8">
        <v>46065</v>
      </c>
      <c r="D1183" s="8">
        <v>45860</v>
      </c>
      <c r="E1183" s="8">
        <v>45676</v>
      </c>
    </row>
    <row r="1184" spans="1:5" x14ac:dyDescent="0.25">
      <c r="A1184" s="1" t="s">
        <v>1173</v>
      </c>
      <c r="B1184" s="8">
        <v>46175</v>
      </c>
      <c r="C1184" s="8">
        <v>46065</v>
      </c>
      <c r="D1184" s="8">
        <v>45878</v>
      </c>
      <c r="E1184" s="8">
        <v>45676</v>
      </c>
    </row>
    <row r="1185" spans="1:5" x14ac:dyDescent="0.25">
      <c r="A1185" s="1" t="s">
        <v>1175</v>
      </c>
      <c r="B1185" s="8">
        <v>46197</v>
      </c>
      <c r="C1185" s="8">
        <v>46156</v>
      </c>
      <c r="D1185" s="8">
        <v>46147</v>
      </c>
      <c r="E1185" s="8">
        <v>46019</v>
      </c>
    </row>
    <row r="1186" spans="1:5" x14ac:dyDescent="0.25">
      <c r="A1186" s="1" t="s">
        <v>1177</v>
      </c>
      <c r="B1186" s="8"/>
      <c r="C1186" s="8"/>
      <c r="D1186" s="8"/>
      <c r="E1186" s="8"/>
    </row>
    <row r="1187" spans="1:5" x14ac:dyDescent="0.25">
      <c r="A1187" s="1" t="s">
        <v>1176</v>
      </c>
      <c r="B1187" s="8">
        <v>44924</v>
      </c>
      <c r="C1187" s="8"/>
      <c r="D1187" s="8"/>
      <c r="E1187" s="8"/>
    </row>
    <row r="1188" spans="1:5" x14ac:dyDescent="0.25">
      <c r="A1188" s="1" t="s">
        <v>1178</v>
      </c>
      <c r="B1188" s="8">
        <v>44904</v>
      </c>
      <c r="C1188" s="8"/>
      <c r="D1188" s="8"/>
      <c r="E1188" s="8"/>
    </row>
    <row r="1189" spans="1:5" x14ac:dyDescent="0.25">
      <c r="A1189" s="1" t="s">
        <v>1179</v>
      </c>
      <c r="B1189" s="8"/>
      <c r="C1189" s="8"/>
      <c r="D1189" s="8"/>
      <c r="E1189" s="8"/>
    </row>
    <row r="1190" spans="1:5" x14ac:dyDescent="0.25">
      <c r="A1190" s="1" t="s">
        <v>1180</v>
      </c>
      <c r="B1190" s="8">
        <v>46237</v>
      </c>
      <c r="C1190" s="8">
        <v>46116</v>
      </c>
      <c r="D1190" s="8">
        <v>45860</v>
      </c>
      <c r="E1190" s="8">
        <v>45780</v>
      </c>
    </row>
    <row r="1191" spans="1:5" x14ac:dyDescent="0.25">
      <c r="A1191" s="1" t="s">
        <v>1181</v>
      </c>
      <c r="B1191" s="8">
        <v>46207</v>
      </c>
      <c r="C1191" s="8">
        <v>46017</v>
      </c>
      <c r="D1191" s="8">
        <v>45856</v>
      </c>
      <c r="E1191" s="8">
        <v>45644</v>
      </c>
    </row>
    <row r="1192" spans="1:5" x14ac:dyDescent="0.25">
      <c r="A1192" s="1" t="s">
        <v>1183</v>
      </c>
      <c r="B1192" s="8">
        <v>46225</v>
      </c>
      <c r="C1192" s="8">
        <v>46009</v>
      </c>
      <c r="D1192" s="8">
        <v>45841</v>
      </c>
      <c r="E1192" s="8">
        <v>45635</v>
      </c>
    </row>
    <row r="1193" spans="1:5" x14ac:dyDescent="0.25">
      <c r="A1193" s="1" t="s">
        <v>1182</v>
      </c>
      <c r="B1193" s="8">
        <v>45400</v>
      </c>
      <c r="C1193" s="8">
        <v>44887</v>
      </c>
      <c r="D1193" s="8">
        <v>44760</v>
      </c>
      <c r="E1193" s="8"/>
    </row>
    <row r="1194" spans="1:5" x14ac:dyDescent="0.25">
      <c r="A1194" s="1" t="s">
        <v>1184</v>
      </c>
      <c r="B1194" s="8"/>
      <c r="C1194" s="8"/>
      <c r="D1194" s="8"/>
      <c r="E1194" s="8"/>
    </row>
    <row r="1195" spans="1:5" x14ac:dyDescent="0.25">
      <c r="A1195" s="1" t="s">
        <v>1185</v>
      </c>
      <c r="B1195" s="8"/>
      <c r="C1195" s="8"/>
      <c r="D1195" s="8"/>
      <c r="E1195" s="8"/>
    </row>
    <row r="1196" spans="1:5" x14ac:dyDescent="0.25">
      <c r="A1196" s="1" t="s">
        <v>1186</v>
      </c>
      <c r="B1196" s="8">
        <v>46263</v>
      </c>
      <c r="C1196" s="8">
        <v>46058</v>
      </c>
      <c r="D1196" s="8">
        <v>45916</v>
      </c>
      <c r="E1196" s="8">
        <v>45678</v>
      </c>
    </row>
    <row r="1197" spans="1:5" x14ac:dyDescent="0.25">
      <c r="A1197" s="1" t="s">
        <v>1187</v>
      </c>
      <c r="B1197" s="8">
        <v>46263</v>
      </c>
      <c r="C1197" s="8">
        <v>46058</v>
      </c>
      <c r="D1197" s="8">
        <v>45916</v>
      </c>
      <c r="E1197" s="8">
        <v>45665</v>
      </c>
    </row>
    <row r="1198" spans="1:5" x14ac:dyDescent="0.25">
      <c r="A1198" s="1" t="s">
        <v>1189</v>
      </c>
      <c r="B1198" s="8">
        <v>45635</v>
      </c>
      <c r="C1198" s="8">
        <v>45455</v>
      </c>
      <c r="D1198" s="8">
        <v>45282</v>
      </c>
      <c r="E1198" s="8">
        <v>45127</v>
      </c>
    </row>
    <row r="1199" spans="1:5" x14ac:dyDescent="0.25">
      <c r="A1199" s="1" t="s">
        <v>1188</v>
      </c>
      <c r="B1199" s="8">
        <v>45455</v>
      </c>
      <c r="C1199" s="8">
        <v>45282</v>
      </c>
      <c r="D1199" s="8">
        <v>45127</v>
      </c>
      <c r="E1199" s="8">
        <v>44925</v>
      </c>
    </row>
    <row r="1200" spans="1:5" x14ac:dyDescent="0.25">
      <c r="A1200" s="1" t="s">
        <v>1190</v>
      </c>
      <c r="B1200" s="8">
        <v>46291</v>
      </c>
      <c r="C1200" s="8">
        <v>46051</v>
      </c>
      <c r="D1200" s="8">
        <v>45888</v>
      </c>
      <c r="E1200" s="8">
        <v>45643</v>
      </c>
    </row>
    <row r="1201" spans="1:5" x14ac:dyDescent="0.25">
      <c r="A1201" s="1" t="s">
        <v>1191</v>
      </c>
      <c r="B1201" s="8">
        <v>46178</v>
      </c>
      <c r="C1201" s="8">
        <v>46083</v>
      </c>
      <c r="D1201" s="8">
        <v>45853</v>
      </c>
      <c r="E1201" s="8">
        <v>44924</v>
      </c>
    </row>
    <row r="1202" spans="1:5" x14ac:dyDescent="0.25">
      <c r="A1202" s="1" t="s">
        <v>1192</v>
      </c>
      <c r="B1202" s="8">
        <v>46267</v>
      </c>
      <c r="C1202" s="8">
        <v>45131</v>
      </c>
      <c r="D1202" s="8">
        <v>44825</v>
      </c>
      <c r="E1202" s="8">
        <v>44727</v>
      </c>
    </row>
    <row r="1203" spans="1:5" x14ac:dyDescent="0.25">
      <c r="A1203" s="1" t="s">
        <v>1193</v>
      </c>
      <c r="B1203" s="8">
        <v>46232</v>
      </c>
      <c r="C1203" s="8">
        <v>45990</v>
      </c>
      <c r="D1203" s="8">
        <v>45780</v>
      </c>
      <c r="E1203" s="8">
        <v>45582</v>
      </c>
    </row>
    <row r="1204" spans="1:5" x14ac:dyDescent="0.25">
      <c r="A1204" s="1" t="s">
        <v>1194</v>
      </c>
      <c r="B1204" s="8">
        <v>46154</v>
      </c>
      <c r="C1204" s="8">
        <v>45539</v>
      </c>
      <c r="D1204" s="8">
        <v>45369</v>
      </c>
      <c r="E1204" s="8">
        <v>44907</v>
      </c>
    </row>
    <row r="1205" spans="1:5" x14ac:dyDescent="0.25">
      <c r="A1205" s="1" t="s">
        <v>1195</v>
      </c>
      <c r="B1205" s="8">
        <v>46241</v>
      </c>
      <c r="C1205" s="8">
        <v>46081</v>
      </c>
      <c r="D1205" s="8">
        <v>44925</v>
      </c>
      <c r="E1205" s="8">
        <v>44779</v>
      </c>
    </row>
    <row r="1206" spans="1:5" x14ac:dyDescent="0.25">
      <c r="A1206" s="1" t="s">
        <v>1196</v>
      </c>
      <c r="B1206" s="8">
        <v>46179</v>
      </c>
      <c r="C1206" s="8">
        <v>45964</v>
      </c>
      <c r="D1206" s="8">
        <v>45797</v>
      </c>
      <c r="E1206" s="8">
        <v>45636</v>
      </c>
    </row>
    <row r="1207" spans="1:5" x14ac:dyDescent="0.25">
      <c r="A1207" s="1" t="s">
        <v>1198</v>
      </c>
      <c r="B1207" s="8">
        <v>44910</v>
      </c>
      <c r="C1207" s="8">
        <v>44729</v>
      </c>
      <c r="D1207" s="8"/>
      <c r="E1207" s="8"/>
    </row>
    <row r="1208" spans="1:5" x14ac:dyDescent="0.25">
      <c r="A1208" s="1" t="s">
        <v>1197</v>
      </c>
      <c r="B1208" s="8">
        <v>46310</v>
      </c>
      <c r="C1208" s="8">
        <v>46142</v>
      </c>
      <c r="D1208" s="8">
        <v>45964</v>
      </c>
      <c r="E1208" s="8">
        <v>45723</v>
      </c>
    </row>
    <row r="1209" spans="1:5" x14ac:dyDescent="0.25">
      <c r="A1209" s="1" t="s">
        <v>1199</v>
      </c>
      <c r="B1209" s="8">
        <v>46240</v>
      </c>
      <c r="C1209" s="8">
        <v>46083</v>
      </c>
      <c r="D1209" s="8">
        <v>45892</v>
      </c>
      <c r="E1209" s="8">
        <v>45601</v>
      </c>
    </row>
    <row r="1210" spans="1:5" x14ac:dyDescent="0.25">
      <c r="A1210" s="1" t="s">
        <v>1200</v>
      </c>
      <c r="B1210" s="8">
        <v>44910</v>
      </c>
      <c r="C1210" s="8">
        <v>44729</v>
      </c>
      <c r="D1210" s="8"/>
      <c r="E1210" s="8"/>
    </row>
    <row r="1211" spans="1:5" x14ac:dyDescent="0.25">
      <c r="A1211" s="1" t="s">
        <v>1201</v>
      </c>
      <c r="B1211" s="8">
        <v>46266</v>
      </c>
      <c r="C1211" s="8">
        <v>46104</v>
      </c>
      <c r="D1211" s="8">
        <v>45919</v>
      </c>
      <c r="E1211" s="8">
        <v>45734</v>
      </c>
    </row>
    <row r="1212" spans="1:5" x14ac:dyDescent="0.25">
      <c r="A1212" s="1" t="s">
        <v>1202</v>
      </c>
      <c r="B1212" s="8"/>
      <c r="C1212" s="8"/>
      <c r="D1212" s="8"/>
      <c r="E1212" s="8"/>
    </row>
    <row r="1213" spans="1:5" x14ac:dyDescent="0.25">
      <c r="A1213" s="1" t="s">
        <v>1203</v>
      </c>
      <c r="B1213" s="8">
        <v>46308</v>
      </c>
      <c r="C1213" s="8">
        <v>46083</v>
      </c>
      <c r="D1213" s="8">
        <v>45917</v>
      </c>
      <c r="E1213" s="8">
        <v>45642</v>
      </c>
    </row>
    <row r="1214" spans="1:5" x14ac:dyDescent="0.25">
      <c r="A1214" s="1" t="s">
        <v>1204</v>
      </c>
      <c r="B1214" s="8">
        <v>44742</v>
      </c>
      <c r="C1214" s="8"/>
      <c r="D1214" s="8"/>
      <c r="E1214" s="8"/>
    </row>
    <row r="1215" spans="1:5" x14ac:dyDescent="0.25">
      <c r="A1215" s="1" t="s">
        <v>1205</v>
      </c>
      <c r="B1215" s="8">
        <v>46320</v>
      </c>
      <c r="C1215" s="8">
        <v>46142</v>
      </c>
      <c r="D1215" s="8">
        <v>46142</v>
      </c>
      <c r="E1215" s="8">
        <v>45918</v>
      </c>
    </row>
    <row r="1216" spans="1:5" x14ac:dyDescent="0.25">
      <c r="A1216" s="1" t="s">
        <v>1206</v>
      </c>
      <c r="B1216" s="8">
        <v>46147</v>
      </c>
      <c r="C1216" s="8">
        <v>45915</v>
      </c>
      <c r="D1216" s="8">
        <v>45799</v>
      </c>
      <c r="E1216" s="8">
        <v>45611</v>
      </c>
    </row>
    <row r="1217" spans="1:5" x14ac:dyDescent="0.25">
      <c r="A1217" s="1" t="s">
        <v>1207</v>
      </c>
      <c r="B1217" s="8">
        <v>46309</v>
      </c>
      <c r="C1217" s="8">
        <v>46169</v>
      </c>
      <c r="D1217" s="8">
        <v>45271</v>
      </c>
      <c r="E1217" s="8">
        <v>45070</v>
      </c>
    </row>
    <row r="1218" spans="1:5" x14ac:dyDescent="0.25">
      <c r="A1218" s="1" t="s">
        <v>1208</v>
      </c>
      <c r="B1218" s="8">
        <v>45716</v>
      </c>
      <c r="C1218" s="8">
        <v>45623</v>
      </c>
      <c r="D1218" s="8">
        <v>45569</v>
      </c>
      <c r="E1218" s="8">
        <v>45265</v>
      </c>
    </row>
    <row r="1219" spans="1:5" x14ac:dyDescent="0.25">
      <c r="A1219" s="1" t="s">
        <v>1209</v>
      </c>
      <c r="B1219" s="8">
        <v>46308</v>
      </c>
      <c r="C1219" s="8">
        <v>46204</v>
      </c>
      <c r="D1219" s="8">
        <v>45898</v>
      </c>
      <c r="E1219" s="8">
        <v>45687</v>
      </c>
    </row>
    <row r="1220" spans="1:5" x14ac:dyDescent="0.25">
      <c r="A1220" s="1" t="s">
        <v>1210</v>
      </c>
      <c r="B1220" s="8">
        <v>46197</v>
      </c>
      <c r="C1220" s="8">
        <v>46134</v>
      </c>
      <c r="D1220" s="8">
        <v>45975</v>
      </c>
      <c r="E1220" s="8">
        <v>45945</v>
      </c>
    </row>
    <row r="1221" spans="1:5" x14ac:dyDescent="0.25">
      <c r="A1221" s="1" t="s">
        <v>1211</v>
      </c>
      <c r="B1221" s="8">
        <v>46304</v>
      </c>
      <c r="C1221" s="8">
        <v>46045</v>
      </c>
      <c r="D1221" s="8">
        <v>45471</v>
      </c>
      <c r="E1221" s="8">
        <v>45315</v>
      </c>
    </row>
    <row r="1222" spans="1:5" x14ac:dyDescent="0.25">
      <c r="A1222" s="1" t="s">
        <v>1213</v>
      </c>
      <c r="B1222" s="8">
        <v>46209</v>
      </c>
      <c r="C1222" s="8">
        <v>45943</v>
      </c>
      <c r="D1222" s="8">
        <v>45810</v>
      </c>
      <c r="E1222" s="8">
        <v>45572</v>
      </c>
    </row>
    <row r="1223" spans="1:5" x14ac:dyDescent="0.25">
      <c r="A1223" s="1" t="s">
        <v>1212</v>
      </c>
      <c r="B1223" s="8">
        <v>45204</v>
      </c>
      <c r="C1223" s="8">
        <v>44728</v>
      </c>
      <c r="D1223" s="8"/>
      <c r="E1223" s="8"/>
    </row>
    <row r="1224" spans="1:5" x14ac:dyDescent="0.25">
      <c r="A1224" s="1" t="s">
        <v>1214</v>
      </c>
      <c r="B1224" s="8">
        <v>44901</v>
      </c>
      <c r="C1224" s="8">
        <v>44727</v>
      </c>
      <c r="D1224" s="8"/>
      <c r="E1224" s="8"/>
    </row>
    <row r="1225" spans="1:5" x14ac:dyDescent="0.25">
      <c r="A1225" s="1" t="s">
        <v>1215</v>
      </c>
      <c r="B1225" s="8">
        <v>46291</v>
      </c>
      <c r="C1225" s="8">
        <v>46052</v>
      </c>
      <c r="D1225" s="8">
        <v>45888</v>
      </c>
      <c r="E1225" s="8">
        <v>45643</v>
      </c>
    </row>
    <row r="1226" spans="1:5" x14ac:dyDescent="0.25">
      <c r="A1226" s="1" t="s">
        <v>1216</v>
      </c>
      <c r="B1226" s="8">
        <v>46135</v>
      </c>
      <c r="C1226" s="8">
        <v>45960</v>
      </c>
      <c r="D1226" s="8">
        <v>45768</v>
      </c>
      <c r="E1226" s="8">
        <v>45583</v>
      </c>
    </row>
    <row r="1227" spans="1:5" x14ac:dyDescent="0.25">
      <c r="A1227" s="1" t="s">
        <v>1217</v>
      </c>
      <c r="B1227" s="8">
        <v>45821</v>
      </c>
      <c r="C1227" s="8">
        <v>45688</v>
      </c>
      <c r="D1227" s="8">
        <v>45489</v>
      </c>
      <c r="E1227" s="8">
        <v>45316</v>
      </c>
    </row>
    <row r="1228" spans="1:5" x14ac:dyDescent="0.25">
      <c r="A1228" s="1" t="s">
        <v>1218</v>
      </c>
      <c r="B1228" s="8">
        <v>46311</v>
      </c>
      <c r="C1228" s="8">
        <v>46148</v>
      </c>
      <c r="D1228" s="8">
        <v>45944</v>
      </c>
      <c r="E1228" s="8">
        <v>45782</v>
      </c>
    </row>
    <row r="1229" spans="1:5" x14ac:dyDescent="0.25">
      <c r="A1229" s="1" t="s">
        <v>1219</v>
      </c>
      <c r="B1229" s="8">
        <v>45297</v>
      </c>
      <c r="C1229" s="8">
        <v>45166</v>
      </c>
      <c r="D1229" s="8">
        <v>44673</v>
      </c>
      <c r="E1229" s="8"/>
    </row>
    <row r="1230" spans="1:5" x14ac:dyDescent="0.25">
      <c r="A1230" s="1" t="s">
        <v>1220</v>
      </c>
      <c r="B1230" s="8">
        <v>45589</v>
      </c>
      <c r="C1230" s="8">
        <v>45446</v>
      </c>
      <c r="D1230" s="8">
        <v>45380</v>
      </c>
      <c r="E1230" s="8">
        <v>45117</v>
      </c>
    </row>
    <row r="1231" spans="1:5" x14ac:dyDescent="0.25">
      <c r="A1231" s="1" t="s">
        <v>1221</v>
      </c>
      <c r="B1231" s="8">
        <v>46316</v>
      </c>
      <c r="C1231" s="8">
        <v>46148</v>
      </c>
      <c r="D1231" s="8">
        <v>45930</v>
      </c>
      <c r="E1231" s="8">
        <v>45765</v>
      </c>
    </row>
    <row r="1232" spans="1:5" x14ac:dyDescent="0.25">
      <c r="A1232" s="1" t="s">
        <v>1222</v>
      </c>
      <c r="B1232" s="8">
        <v>45644</v>
      </c>
      <c r="C1232" s="8">
        <v>45290</v>
      </c>
      <c r="D1232" s="8">
        <v>44910</v>
      </c>
      <c r="E1232" s="8">
        <v>44656</v>
      </c>
    </row>
    <row r="1233" spans="1:5" x14ac:dyDescent="0.25">
      <c r="A1233" s="1" t="s">
        <v>1223</v>
      </c>
      <c r="B1233" s="8">
        <v>46279</v>
      </c>
      <c r="C1233" s="8">
        <v>46160</v>
      </c>
      <c r="D1233" s="8">
        <v>45938</v>
      </c>
      <c r="E1233" s="8">
        <v>45775</v>
      </c>
    </row>
    <row r="1234" spans="1:5" x14ac:dyDescent="0.25">
      <c r="A1234" s="1" t="s">
        <v>1224</v>
      </c>
      <c r="B1234" s="8">
        <v>46000</v>
      </c>
      <c r="C1234" s="8">
        <v>45869</v>
      </c>
      <c r="D1234" s="8">
        <v>44665</v>
      </c>
      <c r="E1234" s="8"/>
    </row>
    <row r="1235" spans="1:5" x14ac:dyDescent="0.25">
      <c r="A1235" s="1" t="s">
        <v>1225</v>
      </c>
      <c r="B1235" s="8">
        <v>46263</v>
      </c>
      <c r="C1235" s="8">
        <v>46144</v>
      </c>
      <c r="D1235" s="8">
        <v>44806</v>
      </c>
      <c r="E1235" s="8">
        <v>44673</v>
      </c>
    </row>
    <row r="1236" spans="1:5" x14ac:dyDescent="0.25">
      <c r="A1236" s="1" t="s">
        <v>1226</v>
      </c>
      <c r="B1236" s="8">
        <v>44834</v>
      </c>
      <c r="C1236" s="8">
        <v>44677</v>
      </c>
      <c r="D1236" s="8"/>
      <c r="E1236" s="8"/>
    </row>
    <row r="1237" spans="1:5" x14ac:dyDescent="0.25">
      <c r="A1237" s="1" t="s">
        <v>1227</v>
      </c>
      <c r="B1237" s="8">
        <v>46207</v>
      </c>
      <c r="C1237" s="8">
        <v>46017</v>
      </c>
      <c r="D1237" s="8">
        <v>45856</v>
      </c>
      <c r="E1237" s="8">
        <v>45644</v>
      </c>
    </row>
    <row r="1238" spans="1:5" x14ac:dyDescent="0.25">
      <c r="A1238" s="1" t="s">
        <v>1228</v>
      </c>
      <c r="B1238" s="8">
        <v>45089</v>
      </c>
      <c r="C1238" s="8">
        <v>44925</v>
      </c>
      <c r="D1238" s="8"/>
      <c r="E1238" s="8"/>
    </row>
    <row r="1239" spans="1:5" x14ac:dyDescent="0.25">
      <c r="A1239" s="1" t="s">
        <v>1229</v>
      </c>
      <c r="B1239" s="8">
        <v>45172</v>
      </c>
      <c r="C1239" s="8">
        <v>45020</v>
      </c>
      <c r="D1239" s="8">
        <v>44736</v>
      </c>
      <c r="E1239" s="8"/>
    </row>
    <row r="1240" spans="1:5" x14ac:dyDescent="0.25">
      <c r="A1240" s="1" t="s">
        <v>1230</v>
      </c>
      <c r="B1240" s="8">
        <v>46179</v>
      </c>
      <c r="C1240" s="8">
        <v>46058</v>
      </c>
      <c r="D1240" s="8">
        <v>45873</v>
      </c>
      <c r="E1240" s="8">
        <v>45797</v>
      </c>
    </row>
    <row r="1241" spans="1:5" x14ac:dyDescent="0.25">
      <c r="A1241" s="1" t="s">
        <v>1231</v>
      </c>
      <c r="B1241" s="8">
        <v>46212</v>
      </c>
      <c r="C1241" s="8">
        <v>46029</v>
      </c>
      <c r="D1241" s="8">
        <v>45842</v>
      </c>
      <c r="E1241" s="8">
        <v>45702</v>
      </c>
    </row>
    <row r="1242" spans="1:5" x14ac:dyDescent="0.25">
      <c r="A1242" s="1" t="s">
        <v>1232</v>
      </c>
      <c r="B1242" s="8">
        <v>45476</v>
      </c>
      <c r="C1242" s="8">
        <v>45337</v>
      </c>
      <c r="D1242" s="8">
        <v>44676</v>
      </c>
      <c r="E1242" s="8"/>
    </row>
    <row r="1243" spans="1:5" x14ac:dyDescent="0.25">
      <c r="A1243" s="1" t="s">
        <v>1234</v>
      </c>
      <c r="B1243" s="8">
        <v>46000</v>
      </c>
      <c r="C1243" s="8">
        <v>45859</v>
      </c>
      <c r="D1243" s="8">
        <v>45274</v>
      </c>
      <c r="E1243" s="8">
        <v>45199</v>
      </c>
    </row>
    <row r="1244" spans="1:5" x14ac:dyDescent="0.25">
      <c r="A1244" s="1" t="s">
        <v>1233</v>
      </c>
      <c r="B1244" s="8"/>
      <c r="C1244" s="8"/>
      <c r="D1244" s="8"/>
      <c r="E1244" s="8"/>
    </row>
    <row r="1245" spans="1:5" x14ac:dyDescent="0.25">
      <c r="A1245" s="1" t="s">
        <v>1235</v>
      </c>
      <c r="B1245" s="8">
        <v>46217</v>
      </c>
      <c r="C1245" s="8">
        <v>46074</v>
      </c>
      <c r="D1245" s="8">
        <v>45912</v>
      </c>
      <c r="E1245" s="8">
        <v>45705</v>
      </c>
    </row>
    <row r="1246" spans="1:5" x14ac:dyDescent="0.25">
      <c r="A1246" s="1" t="s">
        <v>1237</v>
      </c>
      <c r="B1246" s="8">
        <v>45477</v>
      </c>
      <c r="C1246" s="8">
        <v>45337</v>
      </c>
      <c r="D1246" s="8"/>
      <c r="E1246" s="8"/>
    </row>
    <row r="1247" spans="1:5" x14ac:dyDescent="0.25">
      <c r="A1247" s="1" t="s">
        <v>1236</v>
      </c>
      <c r="B1247" s="8">
        <v>45476</v>
      </c>
      <c r="C1247" s="8">
        <v>45337</v>
      </c>
      <c r="D1247" s="8"/>
      <c r="E1247" s="8"/>
    </row>
    <row r="1248" spans="1:5" x14ac:dyDescent="0.25">
      <c r="A1248" s="1" t="s">
        <v>1238</v>
      </c>
      <c r="B1248" s="8">
        <v>46282</v>
      </c>
      <c r="C1248" s="8">
        <v>46136</v>
      </c>
      <c r="D1248" s="8">
        <v>45916</v>
      </c>
      <c r="E1248" s="8">
        <v>45735</v>
      </c>
    </row>
    <row r="1249" spans="1:5" x14ac:dyDescent="0.25">
      <c r="A1249" s="1" t="s">
        <v>1239</v>
      </c>
      <c r="B1249" s="8">
        <v>44848</v>
      </c>
      <c r="C1249" s="8"/>
      <c r="D1249" s="8"/>
      <c r="E1249" s="8"/>
    </row>
    <row r="1250" spans="1:5" x14ac:dyDescent="0.25">
      <c r="A1250" s="1" t="s">
        <v>1240</v>
      </c>
      <c r="B1250" s="8">
        <v>45535</v>
      </c>
      <c r="C1250" s="8">
        <v>45271</v>
      </c>
      <c r="D1250" s="8">
        <v>45113</v>
      </c>
      <c r="E1250" s="8">
        <v>44875</v>
      </c>
    </row>
    <row r="1251" spans="1:5" x14ac:dyDescent="0.25">
      <c r="A1251" s="1" t="s">
        <v>1241</v>
      </c>
      <c r="B1251" s="8">
        <v>46273</v>
      </c>
      <c r="C1251" s="8">
        <v>46130</v>
      </c>
      <c r="D1251" s="8">
        <v>45947</v>
      </c>
      <c r="E1251" s="8">
        <v>45766</v>
      </c>
    </row>
    <row r="1252" spans="1:5" x14ac:dyDescent="0.25">
      <c r="A1252" s="1" t="s">
        <v>1242</v>
      </c>
      <c r="B1252" s="8">
        <v>46006</v>
      </c>
      <c r="C1252" s="8">
        <v>45839</v>
      </c>
      <c r="D1252" s="8">
        <v>45561</v>
      </c>
      <c r="E1252" s="8"/>
    </row>
    <row r="1253" spans="1:5" x14ac:dyDescent="0.25">
      <c r="A1253" s="1" t="s">
        <v>1243</v>
      </c>
      <c r="B1253" s="8">
        <v>46232</v>
      </c>
      <c r="C1253" s="8">
        <v>45990</v>
      </c>
      <c r="D1253" s="8">
        <v>45780</v>
      </c>
      <c r="E1253" s="8">
        <v>45467</v>
      </c>
    </row>
    <row r="1254" spans="1:5" x14ac:dyDescent="0.25">
      <c r="A1254" s="1" t="s">
        <v>1244</v>
      </c>
      <c r="B1254" s="8">
        <v>46222</v>
      </c>
      <c r="C1254" s="8">
        <v>46098</v>
      </c>
      <c r="D1254" s="8">
        <v>45835</v>
      </c>
      <c r="E1254" s="8">
        <v>45708</v>
      </c>
    </row>
    <row r="1255" spans="1:5" x14ac:dyDescent="0.25">
      <c r="A1255" s="1" t="s">
        <v>1245</v>
      </c>
      <c r="B1255" s="8"/>
      <c r="C1255" s="8"/>
      <c r="D1255" s="8"/>
      <c r="E1255" s="8"/>
    </row>
    <row r="1256" spans="1:5" x14ac:dyDescent="0.25">
      <c r="A1256" s="1" t="s">
        <v>1246</v>
      </c>
      <c r="B1256" s="8">
        <v>46230</v>
      </c>
      <c r="C1256" s="8">
        <v>46219</v>
      </c>
      <c r="D1256" s="8">
        <v>46007</v>
      </c>
      <c r="E1256" s="8">
        <v>45780</v>
      </c>
    </row>
    <row r="1257" spans="1:5" x14ac:dyDescent="0.25">
      <c r="A1257" s="1" t="s">
        <v>1249</v>
      </c>
      <c r="B1257" s="8">
        <v>46210</v>
      </c>
      <c r="C1257" s="8">
        <v>46007</v>
      </c>
      <c r="D1257" s="8">
        <v>45803</v>
      </c>
      <c r="E1257" s="8">
        <v>45633</v>
      </c>
    </row>
    <row r="1258" spans="1:5" x14ac:dyDescent="0.25">
      <c r="A1258" s="1" t="s">
        <v>1247</v>
      </c>
      <c r="B1258" s="8">
        <v>46259</v>
      </c>
      <c r="C1258" s="8">
        <v>46155</v>
      </c>
      <c r="D1258" s="8">
        <v>45832</v>
      </c>
      <c r="E1258" s="8">
        <v>45766</v>
      </c>
    </row>
    <row r="1259" spans="1:5" x14ac:dyDescent="0.25">
      <c r="A1259" s="1" t="s">
        <v>1248</v>
      </c>
      <c r="B1259" s="8">
        <v>46210</v>
      </c>
      <c r="C1259" s="8">
        <v>46007</v>
      </c>
      <c r="D1259" s="8">
        <v>45804</v>
      </c>
      <c r="E1259" s="8">
        <v>45633</v>
      </c>
    </row>
    <row r="1260" spans="1:5" x14ac:dyDescent="0.25">
      <c r="A1260" s="1" t="s">
        <v>1250</v>
      </c>
      <c r="B1260" s="8">
        <v>45125</v>
      </c>
      <c r="C1260" s="8">
        <v>44762</v>
      </c>
      <c r="D1260" s="8"/>
      <c r="E1260" s="8"/>
    </row>
    <row r="1261" spans="1:5" x14ac:dyDescent="0.25">
      <c r="A1261" s="1" t="s">
        <v>1251</v>
      </c>
      <c r="B1261" s="8">
        <v>46240</v>
      </c>
      <c r="C1261" s="8">
        <v>46164</v>
      </c>
      <c r="D1261" s="8">
        <v>45856</v>
      </c>
      <c r="E1261" s="8">
        <v>45700</v>
      </c>
    </row>
    <row r="1262" spans="1:5" x14ac:dyDescent="0.25">
      <c r="A1262" s="1" t="s">
        <v>1255</v>
      </c>
      <c r="B1262" s="8">
        <v>46163</v>
      </c>
      <c r="C1262" s="8">
        <v>45847</v>
      </c>
      <c r="D1262" s="8">
        <v>45665</v>
      </c>
      <c r="E1262" s="8">
        <v>45631</v>
      </c>
    </row>
    <row r="1263" spans="1:5" x14ac:dyDescent="0.25">
      <c r="A1263" s="1" t="s">
        <v>1252</v>
      </c>
      <c r="B1263" s="8">
        <v>46268</v>
      </c>
      <c r="C1263" s="8">
        <v>46196</v>
      </c>
      <c r="D1263" s="8">
        <v>46028</v>
      </c>
      <c r="E1263" s="8">
        <v>45891</v>
      </c>
    </row>
    <row r="1264" spans="1:5" x14ac:dyDescent="0.25">
      <c r="A1264" s="1" t="s">
        <v>1253</v>
      </c>
      <c r="B1264" s="8">
        <v>46247</v>
      </c>
      <c r="C1264" s="8">
        <v>46163</v>
      </c>
      <c r="D1264" s="8">
        <v>45989</v>
      </c>
      <c r="E1264" s="8">
        <v>45631</v>
      </c>
    </row>
    <row r="1265" spans="1:5" x14ac:dyDescent="0.25">
      <c r="A1265" s="1" t="s">
        <v>1254</v>
      </c>
      <c r="B1265" s="8">
        <v>46163</v>
      </c>
      <c r="C1265" s="8">
        <v>45847</v>
      </c>
      <c r="D1265" s="8">
        <v>45631</v>
      </c>
      <c r="E1265" s="8">
        <v>45527</v>
      </c>
    </row>
    <row r="1266" spans="1:5" x14ac:dyDescent="0.25">
      <c r="A1266" s="1" t="s">
        <v>1256</v>
      </c>
      <c r="B1266" s="8">
        <v>46138</v>
      </c>
      <c r="C1266" s="8">
        <v>45341</v>
      </c>
      <c r="D1266" s="8">
        <v>45166</v>
      </c>
      <c r="E1266" s="8">
        <v>44729</v>
      </c>
    </row>
    <row r="1267" spans="1:5" x14ac:dyDescent="0.25">
      <c r="A1267" s="1" t="s">
        <v>1257</v>
      </c>
      <c r="B1267" s="8">
        <v>46207</v>
      </c>
      <c r="C1267" s="8">
        <v>46017</v>
      </c>
      <c r="D1267" s="8">
        <v>45856</v>
      </c>
      <c r="E1267" s="8">
        <v>45644</v>
      </c>
    </row>
    <row r="1268" spans="1:5" x14ac:dyDescent="0.25">
      <c r="A1268" s="1" t="s">
        <v>1258</v>
      </c>
      <c r="B1268" s="8">
        <v>46039</v>
      </c>
      <c r="C1268" s="8">
        <v>45859</v>
      </c>
      <c r="D1268" s="8">
        <v>45632</v>
      </c>
      <c r="E1268" s="8">
        <v>45446</v>
      </c>
    </row>
    <row r="1269" spans="1:5" x14ac:dyDescent="0.25">
      <c r="A1269" s="1" t="s">
        <v>1259</v>
      </c>
      <c r="B1269" s="8">
        <v>46039</v>
      </c>
      <c r="C1269" s="8">
        <v>45859</v>
      </c>
      <c r="D1269" s="8">
        <v>45632</v>
      </c>
      <c r="E1269" s="8">
        <v>45446</v>
      </c>
    </row>
    <row r="1270" spans="1:5" x14ac:dyDescent="0.25">
      <c r="A1270" s="1" t="s">
        <v>1261</v>
      </c>
      <c r="B1270" s="8"/>
      <c r="C1270" s="8"/>
      <c r="D1270" s="8"/>
      <c r="E1270" s="8"/>
    </row>
    <row r="1271" spans="1:5" x14ac:dyDescent="0.25">
      <c r="A1271" s="1" t="s">
        <v>1260</v>
      </c>
      <c r="B1271" s="8"/>
      <c r="C1271" s="8"/>
      <c r="D1271" s="8"/>
      <c r="E1271" s="8"/>
    </row>
    <row r="1272" spans="1:5" x14ac:dyDescent="0.25">
      <c r="A1272" s="1" t="s">
        <v>1262</v>
      </c>
      <c r="B1272" s="8">
        <v>46218</v>
      </c>
      <c r="C1272" s="8">
        <v>46050</v>
      </c>
      <c r="D1272" s="8">
        <v>45828</v>
      </c>
      <c r="E1272" s="8">
        <v>45671</v>
      </c>
    </row>
    <row r="1273" spans="1:5" x14ac:dyDescent="0.25">
      <c r="A1273" s="1" t="s">
        <v>1263</v>
      </c>
      <c r="B1273" s="8">
        <v>46199</v>
      </c>
      <c r="C1273" s="8">
        <v>44798</v>
      </c>
      <c r="D1273" s="8"/>
      <c r="E1273" s="8"/>
    </row>
    <row r="1274" spans="1:5" x14ac:dyDescent="0.25">
      <c r="A1274" s="1" t="s">
        <v>1264</v>
      </c>
      <c r="B1274" s="8">
        <v>46183</v>
      </c>
      <c r="C1274" s="8">
        <v>46007</v>
      </c>
      <c r="D1274" s="8">
        <v>45780</v>
      </c>
      <c r="E1274" s="8">
        <v>45633</v>
      </c>
    </row>
    <row r="1275" spans="1:5" x14ac:dyDescent="0.25">
      <c r="A1275" s="1" t="s">
        <v>1266</v>
      </c>
      <c r="B1275" s="8">
        <v>46190</v>
      </c>
      <c r="C1275" s="8">
        <v>46073</v>
      </c>
      <c r="D1275" s="8">
        <v>45847</v>
      </c>
      <c r="E1275" s="8">
        <v>45819</v>
      </c>
    </row>
    <row r="1276" spans="1:5" x14ac:dyDescent="0.25">
      <c r="A1276" s="1" t="s">
        <v>1265</v>
      </c>
      <c r="B1276" s="8">
        <v>46198</v>
      </c>
      <c r="C1276" s="8">
        <v>45978</v>
      </c>
      <c r="D1276" s="8">
        <v>45790</v>
      </c>
      <c r="E1276" s="8">
        <v>45601</v>
      </c>
    </row>
    <row r="1277" spans="1:5" x14ac:dyDescent="0.25">
      <c r="A1277" s="1" t="s">
        <v>1267</v>
      </c>
      <c r="B1277" s="8">
        <v>46163</v>
      </c>
      <c r="C1277" s="8">
        <v>45973</v>
      </c>
      <c r="D1277" s="8">
        <v>45783</v>
      </c>
      <c r="E1277" s="8">
        <v>45652</v>
      </c>
    </row>
    <row r="1278" spans="1:5" x14ac:dyDescent="0.25">
      <c r="A1278" s="1" t="s">
        <v>1269</v>
      </c>
      <c r="B1278" s="8">
        <v>45313</v>
      </c>
      <c r="C1278" s="8">
        <v>45101</v>
      </c>
      <c r="D1278" s="8">
        <v>44917</v>
      </c>
      <c r="E1278" s="8">
        <v>44652</v>
      </c>
    </row>
    <row r="1279" spans="1:5" x14ac:dyDescent="0.25">
      <c r="A1279" s="1" t="s">
        <v>1268</v>
      </c>
      <c r="B1279" s="8">
        <v>45797</v>
      </c>
      <c r="C1279" s="8">
        <v>45663</v>
      </c>
      <c r="D1279" s="8">
        <v>45661</v>
      </c>
      <c r="E1279" s="8">
        <v>45384</v>
      </c>
    </row>
    <row r="1280" spans="1:5" x14ac:dyDescent="0.25">
      <c r="A1280" s="1" t="s">
        <v>1270</v>
      </c>
      <c r="B1280" s="8">
        <v>46272</v>
      </c>
      <c r="C1280" s="8">
        <v>46188</v>
      </c>
      <c r="D1280" s="8">
        <v>46094</v>
      </c>
      <c r="E1280" s="8">
        <v>45982</v>
      </c>
    </row>
    <row r="1281" spans="1:5" x14ac:dyDescent="0.25">
      <c r="A1281" s="1" t="s">
        <v>1271</v>
      </c>
      <c r="B1281" s="8"/>
      <c r="C1281" s="8"/>
      <c r="D1281" s="8"/>
      <c r="E1281" s="8"/>
    </row>
    <row r="1282" spans="1:5" x14ac:dyDescent="0.25">
      <c r="A1282" s="1" t="s">
        <v>1272</v>
      </c>
      <c r="B1282" s="8">
        <v>46198</v>
      </c>
      <c r="C1282" s="8">
        <v>46081</v>
      </c>
      <c r="D1282" s="8">
        <v>45974</v>
      </c>
      <c r="E1282" s="8">
        <v>45892</v>
      </c>
    </row>
    <row r="1283" spans="1:5" x14ac:dyDescent="0.25">
      <c r="A1283" s="1" t="s">
        <v>1274</v>
      </c>
      <c r="B1283" s="8">
        <v>45134</v>
      </c>
      <c r="C1283" s="8">
        <v>44896</v>
      </c>
      <c r="D1283" s="8">
        <v>44737</v>
      </c>
      <c r="E1283" s="8">
        <v>44686</v>
      </c>
    </row>
    <row r="1284" spans="1:5" x14ac:dyDescent="0.25">
      <c r="A1284" s="1" t="s">
        <v>1275</v>
      </c>
      <c r="B1284" s="8">
        <v>46261</v>
      </c>
      <c r="C1284" s="8">
        <v>46100</v>
      </c>
      <c r="D1284" s="8">
        <v>45959</v>
      </c>
      <c r="E1284" s="8">
        <v>45742</v>
      </c>
    </row>
    <row r="1285" spans="1:5" x14ac:dyDescent="0.25">
      <c r="A1285" s="1" t="s">
        <v>1273</v>
      </c>
      <c r="B1285" s="8">
        <v>46127</v>
      </c>
      <c r="C1285" s="8">
        <v>46050</v>
      </c>
      <c r="D1285" s="8">
        <v>45961</v>
      </c>
      <c r="E1285" s="8">
        <v>45833</v>
      </c>
    </row>
    <row r="1286" spans="1:5" x14ac:dyDescent="0.25">
      <c r="A1286" s="1" t="s">
        <v>1276</v>
      </c>
      <c r="B1286" s="8">
        <v>46262</v>
      </c>
      <c r="C1286" s="8">
        <v>46064</v>
      </c>
      <c r="D1286" s="8">
        <v>45909</v>
      </c>
      <c r="E1286" s="8">
        <v>45742</v>
      </c>
    </row>
    <row r="1287" spans="1:5" x14ac:dyDescent="0.25">
      <c r="A1287" s="1" t="s">
        <v>1277</v>
      </c>
      <c r="B1287" s="8">
        <v>46302</v>
      </c>
      <c r="C1287" s="8">
        <v>46207</v>
      </c>
      <c r="D1287" s="8">
        <v>46105</v>
      </c>
      <c r="E1287" s="8">
        <v>46031</v>
      </c>
    </row>
    <row r="1288" spans="1:5" x14ac:dyDescent="0.25">
      <c r="A1288" s="1" t="s">
        <v>1278</v>
      </c>
      <c r="B1288" s="8"/>
      <c r="C1288" s="8"/>
      <c r="D1288" s="8"/>
      <c r="E1288" s="8"/>
    </row>
    <row r="1289" spans="1:5" x14ac:dyDescent="0.25">
      <c r="A1289" s="1" t="s">
        <v>1279</v>
      </c>
      <c r="B1289" s="8">
        <v>46155</v>
      </c>
      <c r="C1289" s="8">
        <v>45968</v>
      </c>
      <c r="D1289" s="8">
        <v>45388</v>
      </c>
      <c r="E1289" s="8"/>
    </row>
    <row r="1290" spans="1:5" x14ac:dyDescent="0.25">
      <c r="A1290" s="1" t="s">
        <v>1280</v>
      </c>
      <c r="B1290" s="8">
        <v>46319</v>
      </c>
      <c r="C1290" s="8">
        <v>46036</v>
      </c>
      <c r="D1290" s="8">
        <v>45829</v>
      </c>
      <c r="E1290" s="8">
        <v>45646</v>
      </c>
    </row>
    <row r="1291" spans="1:5" x14ac:dyDescent="0.25">
      <c r="A1291" s="1" t="s">
        <v>1281</v>
      </c>
      <c r="B1291" s="8">
        <v>45385</v>
      </c>
      <c r="C1291" s="8">
        <v>45253</v>
      </c>
      <c r="D1291" s="8">
        <v>45098</v>
      </c>
      <c r="E1291" s="8"/>
    </row>
    <row r="1292" spans="1:5" x14ac:dyDescent="0.25">
      <c r="A1292" s="1" t="s">
        <v>1282</v>
      </c>
      <c r="B1292" s="8"/>
      <c r="C1292" s="8"/>
      <c r="D1292" s="8"/>
      <c r="E1292" s="8"/>
    </row>
    <row r="1293" spans="1:5" x14ac:dyDescent="0.25">
      <c r="A1293" s="1" t="s">
        <v>1283</v>
      </c>
      <c r="B1293" s="8">
        <v>46161</v>
      </c>
      <c r="C1293" s="8">
        <v>46072</v>
      </c>
      <c r="D1293" s="8">
        <v>45840</v>
      </c>
      <c r="E1293" s="8">
        <v>45660</v>
      </c>
    </row>
    <row r="1294" spans="1:5" x14ac:dyDescent="0.25">
      <c r="A1294" s="1" t="s">
        <v>1284</v>
      </c>
      <c r="B1294" s="8">
        <v>46160</v>
      </c>
      <c r="C1294" s="8">
        <v>46071</v>
      </c>
      <c r="D1294" s="8">
        <v>45841</v>
      </c>
      <c r="E1294" s="8">
        <v>45717</v>
      </c>
    </row>
    <row r="1295" spans="1:5" x14ac:dyDescent="0.25">
      <c r="A1295" s="1" t="s">
        <v>1285</v>
      </c>
      <c r="B1295" s="8">
        <v>45856</v>
      </c>
      <c r="C1295" s="8">
        <v>45682</v>
      </c>
      <c r="D1295" s="8"/>
      <c r="E1295" s="8"/>
    </row>
    <row r="1296" spans="1:5" x14ac:dyDescent="0.25">
      <c r="A1296" s="1" t="s">
        <v>1286</v>
      </c>
      <c r="B1296" s="8">
        <v>46284</v>
      </c>
      <c r="C1296" s="8">
        <v>46136</v>
      </c>
      <c r="D1296" s="8">
        <v>45849</v>
      </c>
      <c r="E1296" s="8">
        <v>45749</v>
      </c>
    </row>
    <row r="1297" spans="1:5" x14ac:dyDescent="0.25">
      <c r="A1297" s="1" t="s">
        <v>1288</v>
      </c>
      <c r="B1297" s="8"/>
      <c r="C1297" s="8"/>
      <c r="D1297" s="8"/>
      <c r="E1297" s="8"/>
    </row>
    <row r="1298" spans="1:5" x14ac:dyDescent="0.25">
      <c r="A1298" s="1" t="s">
        <v>1287</v>
      </c>
      <c r="B1298" s="8"/>
      <c r="C1298" s="8"/>
      <c r="D1298" s="8"/>
      <c r="E1298" s="8"/>
    </row>
    <row r="1299" spans="1:5" x14ac:dyDescent="0.25">
      <c r="A1299" s="1" t="s">
        <v>1291</v>
      </c>
      <c r="B1299" s="8">
        <v>46030</v>
      </c>
      <c r="C1299" s="8">
        <v>45909</v>
      </c>
      <c r="D1299" s="8">
        <v>45427</v>
      </c>
      <c r="E1299" s="8">
        <v>45230</v>
      </c>
    </row>
    <row r="1300" spans="1:5" x14ac:dyDescent="0.25">
      <c r="A1300" s="1" t="s">
        <v>1290</v>
      </c>
      <c r="B1300" s="8">
        <v>45002</v>
      </c>
      <c r="C1300" s="8">
        <v>44826</v>
      </c>
      <c r="D1300" s="8"/>
      <c r="E1300" s="8"/>
    </row>
    <row r="1301" spans="1:5" x14ac:dyDescent="0.25">
      <c r="A1301" s="1" t="s">
        <v>1289</v>
      </c>
      <c r="B1301" s="8">
        <v>46142</v>
      </c>
      <c r="C1301" s="8">
        <v>46022</v>
      </c>
      <c r="D1301" s="8">
        <v>45819</v>
      </c>
      <c r="E1301" s="8">
        <v>45703</v>
      </c>
    </row>
    <row r="1302" spans="1:5" x14ac:dyDescent="0.25">
      <c r="A1302" s="1" t="s">
        <v>1293</v>
      </c>
      <c r="B1302" s="8">
        <v>46219</v>
      </c>
      <c r="C1302" s="8">
        <v>46029</v>
      </c>
      <c r="D1302" s="8">
        <v>45840</v>
      </c>
      <c r="E1302" s="8">
        <v>45682</v>
      </c>
    </row>
    <row r="1303" spans="1:5" x14ac:dyDescent="0.25">
      <c r="A1303" s="1" t="s">
        <v>1292</v>
      </c>
      <c r="B1303" s="8">
        <v>46284</v>
      </c>
      <c r="C1303" s="8">
        <v>46136</v>
      </c>
      <c r="D1303" s="8">
        <v>46065</v>
      </c>
      <c r="E1303" s="8">
        <v>45931</v>
      </c>
    </row>
    <row r="1304" spans="1:5" x14ac:dyDescent="0.25">
      <c r="A1304" s="1" t="s">
        <v>1294</v>
      </c>
      <c r="B1304" s="8">
        <v>46261</v>
      </c>
      <c r="C1304" s="8">
        <v>46100</v>
      </c>
      <c r="D1304" s="8">
        <v>45959</v>
      </c>
      <c r="E1304" s="8">
        <v>45742</v>
      </c>
    </row>
    <row r="1305" spans="1:5" x14ac:dyDescent="0.25">
      <c r="A1305" s="1" t="s">
        <v>1295</v>
      </c>
      <c r="B1305" s="8">
        <v>46245</v>
      </c>
      <c r="C1305" s="8">
        <v>46128</v>
      </c>
      <c r="D1305" s="8">
        <v>45967</v>
      </c>
      <c r="E1305" s="8">
        <v>45721</v>
      </c>
    </row>
    <row r="1306" spans="1:5" x14ac:dyDescent="0.25">
      <c r="A1306" s="1" t="s">
        <v>1296</v>
      </c>
      <c r="B1306" s="8">
        <v>46155</v>
      </c>
      <c r="C1306" s="8">
        <v>46009</v>
      </c>
      <c r="D1306" s="8">
        <v>45855</v>
      </c>
      <c r="E1306" s="8">
        <v>45614</v>
      </c>
    </row>
    <row r="1307" spans="1:5" x14ac:dyDescent="0.25">
      <c r="A1307" s="1" t="s">
        <v>1297</v>
      </c>
      <c r="B1307" s="8"/>
      <c r="C1307" s="8"/>
      <c r="D1307" s="8"/>
      <c r="E1307" s="8"/>
    </row>
    <row r="1308" spans="1:5" x14ac:dyDescent="0.25">
      <c r="A1308" s="1" t="s">
        <v>1301</v>
      </c>
      <c r="B1308" s="8">
        <v>46262</v>
      </c>
      <c r="C1308" s="8">
        <v>46064</v>
      </c>
      <c r="D1308" s="8">
        <v>45909</v>
      </c>
      <c r="E1308" s="8">
        <v>45742</v>
      </c>
    </row>
    <row r="1309" spans="1:5" x14ac:dyDescent="0.25">
      <c r="A1309" s="1" t="s">
        <v>1298</v>
      </c>
      <c r="B1309" s="8">
        <v>46207</v>
      </c>
      <c r="C1309" s="8">
        <v>46017</v>
      </c>
      <c r="D1309" s="8">
        <v>45846</v>
      </c>
      <c r="E1309" s="8">
        <v>45644</v>
      </c>
    </row>
    <row r="1310" spans="1:5" x14ac:dyDescent="0.25">
      <c r="A1310" s="1" t="s">
        <v>1300</v>
      </c>
      <c r="B1310" s="8"/>
      <c r="C1310" s="8"/>
      <c r="D1310" s="8"/>
      <c r="E1310" s="8"/>
    </row>
    <row r="1311" spans="1:5" x14ac:dyDescent="0.25">
      <c r="A1311" s="1" t="s">
        <v>1299</v>
      </c>
      <c r="B1311" s="8">
        <v>46262</v>
      </c>
      <c r="C1311" s="8">
        <v>45958</v>
      </c>
      <c r="D1311" s="8">
        <v>45784</v>
      </c>
      <c r="E1311" s="8">
        <v>45566</v>
      </c>
    </row>
    <row r="1312" spans="1:5" x14ac:dyDescent="0.25">
      <c r="A1312" s="1" t="s">
        <v>1302</v>
      </c>
      <c r="B1312" s="8">
        <v>46199</v>
      </c>
      <c r="C1312" s="8">
        <v>46107</v>
      </c>
      <c r="D1312" s="8">
        <v>46060</v>
      </c>
      <c r="E1312" s="8">
        <v>45925</v>
      </c>
    </row>
    <row r="1313" spans="1:5" x14ac:dyDescent="0.25">
      <c r="A1313" s="1" t="s">
        <v>1303</v>
      </c>
      <c r="B1313" s="8">
        <v>46240</v>
      </c>
      <c r="C1313" s="8">
        <v>46056</v>
      </c>
      <c r="D1313" s="8">
        <v>45856</v>
      </c>
      <c r="E1313" s="8">
        <v>45700</v>
      </c>
    </row>
    <row r="1314" spans="1:5" x14ac:dyDescent="0.25">
      <c r="A1314" s="1" t="s">
        <v>1304</v>
      </c>
      <c r="B1314" s="8">
        <v>46240</v>
      </c>
      <c r="C1314" s="8">
        <v>46100</v>
      </c>
      <c r="D1314" s="8">
        <v>45931</v>
      </c>
      <c r="E1314" s="8">
        <v>45699</v>
      </c>
    </row>
    <row r="1315" spans="1:5" x14ac:dyDescent="0.25">
      <c r="A1315" s="1" t="s">
        <v>1305</v>
      </c>
      <c r="B1315" s="8">
        <v>44957</v>
      </c>
      <c r="C1315" s="8">
        <v>44726</v>
      </c>
      <c r="D1315" s="8"/>
      <c r="E1315" s="8"/>
    </row>
    <row r="1316" spans="1:5" x14ac:dyDescent="0.25">
      <c r="A1316" s="1" t="s">
        <v>1306</v>
      </c>
      <c r="B1316" s="8">
        <v>46283</v>
      </c>
      <c r="C1316" s="8">
        <v>46105</v>
      </c>
      <c r="D1316" s="8">
        <v>45962</v>
      </c>
      <c r="E1316" s="8">
        <v>45784</v>
      </c>
    </row>
    <row r="1317" spans="1:5" x14ac:dyDescent="0.25">
      <c r="A1317" s="1" t="s">
        <v>1307</v>
      </c>
      <c r="B1317" s="8">
        <v>46157</v>
      </c>
      <c r="C1317" s="8">
        <v>45926</v>
      </c>
      <c r="D1317" s="8">
        <v>45716</v>
      </c>
      <c r="E1317" s="8">
        <v>45497</v>
      </c>
    </row>
    <row r="1318" spans="1:5" x14ac:dyDescent="0.25">
      <c r="A1318" s="1" t="s">
        <v>1308</v>
      </c>
      <c r="B1318" s="8">
        <v>46155</v>
      </c>
      <c r="C1318" s="8">
        <v>46014</v>
      </c>
      <c r="D1318" s="8">
        <v>45777</v>
      </c>
      <c r="E1318" s="8">
        <v>45681</v>
      </c>
    </row>
    <row r="1319" spans="1:5" x14ac:dyDescent="0.25">
      <c r="A1319" s="1" t="s">
        <v>1309</v>
      </c>
      <c r="B1319" s="8">
        <v>46178</v>
      </c>
      <c r="C1319" s="8">
        <v>46031</v>
      </c>
      <c r="D1319" s="8">
        <v>45855</v>
      </c>
      <c r="E1319" s="8">
        <v>45673</v>
      </c>
    </row>
    <row r="1320" spans="1:5" x14ac:dyDescent="0.25">
      <c r="A1320" s="1" t="s">
        <v>1312</v>
      </c>
      <c r="B1320" s="8">
        <v>46168</v>
      </c>
      <c r="C1320" s="8">
        <v>46154</v>
      </c>
      <c r="D1320" s="8">
        <v>45854</v>
      </c>
      <c r="E1320" s="8">
        <v>45675</v>
      </c>
    </row>
    <row r="1321" spans="1:5" x14ac:dyDescent="0.25">
      <c r="A1321" s="1" t="s">
        <v>1310</v>
      </c>
      <c r="B1321" s="8">
        <v>46231</v>
      </c>
      <c r="C1321" s="8">
        <v>46042</v>
      </c>
      <c r="D1321" s="8">
        <v>45885</v>
      </c>
      <c r="E1321" s="8">
        <v>45847</v>
      </c>
    </row>
    <row r="1322" spans="1:5" x14ac:dyDescent="0.25">
      <c r="A1322" s="1" t="s">
        <v>1311</v>
      </c>
      <c r="B1322" s="8">
        <v>46150</v>
      </c>
      <c r="C1322" s="8">
        <v>46010</v>
      </c>
      <c r="D1322" s="8">
        <v>45805</v>
      </c>
      <c r="E1322" s="8">
        <v>45449</v>
      </c>
    </row>
    <row r="1323" spans="1:5" x14ac:dyDescent="0.25">
      <c r="A1323" s="1" t="s">
        <v>1313</v>
      </c>
      <c r="B1323" s="8">
        <v>46272</v>
      </c>
      <c r="C1323" s="8">
        <v>46155</v>
      </c>
      <c r="D1323" s="8">
        <v>46142</v>
      </c>
      <c r="E1323" s="8">
        <v>45939</v>
      </c>
    </row>
    <row r="1324" spans="1:5" x14ac:dyDescent="0.25">
      <c r="A1324" s="1" t="s">
        <v>1314</v>
      </c>
      <c r="B1324" s="8">
        <v>46298</v>
      </c>
      <c r="C1324" s="8">
        <v>46144</v>
      </c>
      <c r="D1324" s="8">
        <v>45925</v>
      </c>
      <c r="E1324" s="8">
        <v>45734</v>
      </c>
    </row>
    <row r="1325" spans="1:5" x14ac:dyDescent="0.25">
      <c r="A1325" s="1" t="s">
        <v>1315</v>
      </c>
      <c r="B1325" s="8"/>
      <c r="C1325" s="8"/>
      <c r="D1325" s="8"/>
      <c r="E1325" s="8"/>
    </row>
    <row r="1326" spans="1:5" x14ac:dyDescent="0.25">
      <c r="A1326" s="1" t="s">
        <v>1316</v>
      </c>
      <c r="B1326" s="8">
        <v>46232</v>
      </c>
      <c r="C1326" s="8">
        <v>46058</v>
      </c>
      <c r="D1326" s="8">
        <v>45868</v>
      </c>
      <c r="E1326" s="8">
        <v>45678</v>
      </c>
    </row>
    <row r="1327" spans="1:5" x14ac:dyDescent="0.25">
      <c r="A1327" s="1" t="s">
        <v>1317</v>
      </c>
      <c r="B1327" s="8">
        <v>46303</v>
      </c>
      <c r="C1327" s="8">
        <v>46105</v>
      </c>
      <c r="D1327" s="8">
        <v>45920</v>
      </c>
      <c r="E1327" s="8">
        <v>45628</v>
      </c>
    </row>
    <row r="1328" spans="1:5" x14ac:dyDescent="0.25">
      <c r="A1328" s="1" t="s">
        <v>1318</v>
      </c>
      <c r="B1328" s="8">
        <v>46199</v>
      </c>
      <c r="C1328" s="8">
        <v>46063</v>
      </c>
      <c r="D1328" s="8">
        <v>45717</v>
      </c>
      <c r="E1328" s="8">
        <v>45618</v>
      </c>
    </row>
    <row r="1329" spans="1:5" x14ac:dyDescent="0.25">
      <c r="A1329" s="1" t="s">
        <v>1319</v>
      </c>
      <c r="B1329" s="8">
        <v>46193</v>
      </c>
      <c r="C1329" s="8">
        <v>45974</v>
      </c>
      <c r="D1329" s="8">
        <v>45313</v>
      </c>
      <c r="E1329" s="8">
        <v>45105</v>
      </c>
    </row>
    <row r="1330" spans="1:5" x14ac:dyDescent="0.25">
      <c r="A1330" s="1" t="s">
        <v>1320</v>
      </c>
      <c r="B1330" s="8">
        <v>46227</v>
      </c>
      <c r="C1330" s="8">
        <v>46056</v>
      </c>
      <c r="D1330" s="8">
        <v>45847</v>
      </c>
      <c r="E1330" s="8">
        <v>45703</v>
      </c>
    </row>
    <row r="1331" spans="1:5" x14ac:dyDescent="0.25">
      <c r="A1331" s="1" t="s">
        <v>1321</v>
      </c>
      <c r="B1331" s="8"/>
      <c r="C1331" s="8"/>
      <c r="D1331" s="8"/>
      <c r="E1331" s="8"/>
    </row>
    <row r="1332" spans="1:5" x14ac:dyDescent="0.25">
      <c r="A1332" s="1" t="s">
        <v>1322</v>
      </c>
      <c r="B1332" s="8"/>
      <c r="C1332" s="8"/>
      <c r="D1332" s="8"/>
      <c r="E1332" s="8"/>
    </row>
    <row r="1333" spans="1:5" x14ac:dyDescent="0.25">
      <c r="A1333" s="1" t="s">
        <v>1323</v>
      </c>
      <c r="B1333" s="8">
        <v>46025</v>
      </c>
      <c r="C1333" s="8">
        <v>45891</v>
      </c>
      <c r="D1333" s="8">
        <v>45684</v>
      </c>
      <c r="E1333" s="8">
        <v>45511</v>
      </c>
    </row>
    <row r="1334" spans="1:5" x14ac:dyDescent="0.25">
      <c r="A1334" s="1" t="s">
        <v>1324</v>
      </c>
      <c r="B1334" s="8"/>
      <c r="C1334" s="8"/>
      <c r="D1334" s="8"/>
      <c r="E1334" s="8"/>
    </row>
    <row r="1335" spans="1:5" x14ac:dyDescent="0.25">
      <c r="A1335" s="1" t="s">
        <v>1325</v>
      </c>
      <c r="B1335" s="8">
        <v>46199</v>
      </c>
      <c r="C1335" s="8">
        <v>46003</v>
      </c>
      <c r="D1335" s="8">
        <v>45831</v>
      </c>
      <c r="E1335" s="8">
        <v>45565</v>
      </c>
    </row>
    <row r="1336" spans="1:5" x14ac:dyDescent="0.25">
      <c r="A1336" s="1" t="s">
        <v>1326</v>
      </c>
      <c r="B1336" s="8">
        <v>46181</v>
      </c>
      <c r="C1336" s="8">
        <v>45985</v>
      </c>
      <c r="D1336" s="8">
        <v>45780</v>
      </c>
      <c r="E1336" s="8">
        <v>45607</v>
      </c>
    </row>
    <row r="1337" spans="1:5" x14ac:dyDescent="0.25">
      <c r="A1337" s="1" t="s">
        <v>1327</v>
      </c>
      <c r="B1337" s="8">
        <v>45314</v>
      </c>
      <c r="C1337" s="8">
        <v>45105</v>
      </c>
      <c r="D1337" s="8"/>
      <c r="E1337" s="8"/>
    </row>
    <row r="1338" spans="1:5" x14ac:dyDescent="0.25">
      <c r="A1338" s="1" t="s">
        <v>1328</v>
      </c>
      <c r="B1338" s="8">
        <v>46206</v>
      </c>
      <c r="C1338" s="8">
        <v>46008</v>
      </c>
      <c r="D1338" s="8">
        <v>45808</v>
      </c>
      <c r="E1338" s="8">
        <v>45623</v>
      </c>
    </row>
    <row r="1339" spans="1:5" x14ac:dyDescent="0.25">
      <c r="A1339" s="1" t="s">
        <v>1329</v>
      </c>
      <c r="B1339" s="8">
        <v>46235</v>
      </c>
      <c r="C1339" s="8">
        <v>46098</v>
      </c>
      <c r="D1339" s="8">
        <v>45846</v>
      </c>
      <c r="E1339" s="8">
        <v>45714</v>
      </c>
    </row>
    <row r="1340" spans="1:5" x14ac:dyDescent="0.25">
      <c r="A1340" s="1" t="s">
        <v>1330</v>
      </c>
      <c r="B1340" s="8"/>
      <c r="C1340" s="8"/>
      <c r="D1340" s="8"/>
      <c r="E1340" s="8"/>
    </row>
    <row r="1341" spans="1:5" x14ac:dyDescent="0.25">
      <c r="A1341" s="1" t="s">
        <v>1331</v>
      </c>
      <c r="B1341" s="8"/>
      <c r="C1341" s="8"/>
      <c r="D1341" s="8"/>
      <c r="E1341" s="8"/>
    </row>
    <row r="1342" spans="1:5" x14ac:dyDescent="0.25">
      <c r="A1342" s="1" t="s">
        <v>1332</v>
      </c>
      <c r="B1342" s="8">
        <v>45199</v>
      </c>
      <c r="C1342" s="8">
        <v>45100</v>
      </c>
      <c r="D1342" s="8">
        <v>44909</v>
      </c>
      <c r="E1342" s="8">
        <v>44846</v>
      </c>
    </row>
    <row r="1343" spans="1:5" x14ac:dyDescent="0.25">
      <c r="A1343" s="1" t="s">
        <v>1333</v>
      </c>
      <c r="B1343" s="8">
        <v>45664</v>
      </c>
      <c r="C1343" s="8">
        <v>45518</v>
      </c>
      <c r="D1343" s="8">
        <v>44908</v>
      </c>
      <c r="E1343" s="8">
        <v>44774</v>
      </c>
    </row>
    <row r="1344" spans="1:5" x14ac:dyDescent="0.25">
      <c r="A1344" s="1" t="s">
        <v>1334</v>
      </c>
      <c r="B1344" s="8">
        <v>46214</v>
      </c>
      <c r="C1344" s="8">
        <v>45844</v>
      </c>
      <c r="D1344" s="8">
        <v>45363</v>
      </c>
      <c r="E1344" s="8">
        <v>45177</v>
      </c>
    </row>
    <row r="1345" spans="1:5" x14ac:dyDescent="0.25">
      <c r="A1345" s="1" t="s">
        <v>1335</v>
      </c>
      <c r="B1345" s="8">
        <v>46031</v>
      </c>
      <c r="C1345" s="8">
        <v>45807</v>
      </c>
      <c r="D1345" s="8">
        <v>45505</v>
      </c>
      <c r="E1345" s="8">
        <v>44797</v>
      </c>
    </row>
    <row r="1346" spans="1:5" x14ac:dyDescent="0.25">
      <c r="A1346" s="1" t="s">
        <v>1336</v>
      </c>
      <c r="B1346" s="8">
        <v>46302</v>
      </c>
      <c r="C1346" s="8">
        <v>46126</v>
      </c>
      <c r="D1346" s="8">
        <v>45974</v>
      </c>
      <c r="E1346" s="8">
        <v>45751</v>
      </c>
    </row>
    <row r="1347" spans="1:5" x14ac:dyDescent="0.25">
      <c r="A1347" s="1" t="s">
        <v>1337</v>
      </c>
      <c r="B1347" s="8">
        <v>46302</v>
      </c>
      <c r="C1347" s="8">
        <v>46042</v>
      </c>
      <c r="D1347" s="8">
        <v>45876</v>
      </c>
      <c r="E1347" s="8">
        <v>45702</v>
      </c>
    </row>
    <row r="1348" spans="1:5" x14ac:dyDescent="0.25">
      <c r="A1348" s="1" t="s">
        <v>1338</v>
      </c>
      <c r="B1348" s="8">
        <v>46325</v>
      </c>
      <c r="C1348" s="8">
        <v>46192</v>
      </c>
      <c r="D1348" s="8">
        <v>45965</v>
      </c>
      <c r="E1348" s="8">
        <v>45747</v>
      </c>
    </row>
    <row r="1349" spans="1:5" x14ac:dyDescent="0.25">
      <c r="A1349" s="1" t="s">
        <v>1339</v>
      </c>
      <c r="B1349" s="8">
        <v>45195</v>
      </c>
      <c r="C1349" s="8"/>
      <c r="D1349" s="8"/>
      <c r="E1349" s="8"/>
    </row>
    <row r="1350" spans="1:5" x14ac:dyDescent="0.25">
      <c r="A1350" s="1" t="s">
        <v>1340</v>
      </c>
      <c r="B1350" s="8">
        <v>45253</v>
      </c>
      <c r="C1350" s="8">
        <v>45097</v>
      </c>
      <c r="D1350" s="8">
        <v>45007</v>
      </c>
      <c r="E1350" s="8">
        <v>44887</v>
      </c>
    </row>
    <row r="1351" spans="1:5" x14ac:dyDescent="0.25">
      <c r="A1351" s="1" t="s">
        <v>1341</v>
      </c>
      <c r="B1351" s="8">
        <v>45678</v>
      </c>
      <c r="C1351" s="8">
        <v>45190</v>
      </c>
      <c r="D1351" s="8">
        <v>45045</v>
      </c>
      <c r="E1351" s="8">
        <v>44917</v>
      </c>
    </row>
    <row r="1352" spans="1:5" x14ac:dyDescent="0.25">
      <c r="A1352" s="1" t="s">
        <v>1342</v>
      </c>
      <c r="B1352" s="8"/>
      <c r="C1352" s="8"/>
      <c r="D1352" s="8"/>
      <c r="E1352" s="8"/>
    </row>
    <row r="1353" spans="1:5" x14ac:dyDescent="0.25">
      <c r="A1353" s="1" t="s">
        <v>1343</v>
      </c>
      <c r="B1353" s="8">
        <v>45490</v>
      </c>
      <c r="C1353" s="8">
        <v>45481</v>
      </c>
      <c r="D1353" s="8">
        <v>45404</v>
      </c>
      <c r="E1353" s="8">
        <v>45237</v>
      </c>
    </row>
    <row r="1354" spans="1:5" x14ac:dyDescent="0.25">
      <c r="A1354" s="1" t="s">
        <v>1346</v>
      </c>
      <c r="B1354" s="8">
        <v>46268</v>
      </c>
      <c r="C1354" s="8">
        <v>46129</v>
      </c>
      <c r="D1354" s="8">
        <v>45890</v>
      </c>
      <c r="E1354" s="8">
        <v>45716</v>
      </c>
    </row>
    <row r="1355" spans="1:5" x14ac:dyDescent="0.25">
      <c r="A1355" s="1" t="s">
        <v>1345</v>
      </c>
      <c r="B1355" s="8">
        <v>46268</v>
      </c>
      <c r="C1355" s="8">
        <v>46129</v>
      </c>
      <c r="D1355" s="8">
        <v>45890</v>
      </c>
      <c r="E1355" s="8">
        <v>45716</v>
      </c>
    </row>
    <row r="1356" spans="1:5" x14ac:dyDescent="0.25">
      <c r="A1356" s="1" t="s">
        <v>1344</v>
      </c>
      <c r="B1356" s="8">
        <v>46268</v>
      </c>
      <c r="C1356" s="8">
        <v>46129</v>
      </c>
      <c r="D1356" s="8">
        <v>45890</v>
      </c>
      <c r="E1356" s="8">
        <v>45716</v>
      </c>
    </row>
    <row r="1357" spans="1:5" x14ac:dyDescent="0.25">
      <c r="A1357" s="1" t="s">
        <v>1347</v>
      </c>
      <c r="B1357" s="8"/>
      <c r="C1357" s="8"/>
      <c r="D1357" s="8"/>
      <c r="E1357" s="8"/>
    </row>
    <row r="1358" spans="1:5" x14ac:dyDescent="0.25">
      <c r="A1358" s="1" t="s">
        <v>1348</v>
      </c>
      <c r="B1358" s="8">
        <v>46183</v>
      </c>
      <c r="C1358" s="8">
        <v>46183</v>
      </c>
      <c r="D1358" s="8">
        <v>46057</v>
      </c>
      <c r="E1358" s="8">
        <v>45938</v>
      </c>
    </row>
    <row r="1359" spans="1:5" x14ac:dyDescent="0.25">
      <c r="A1359" s="1" t="s">
        <v>1349</v>
      </c>
      <c r="B1359" s="8">
        <v>46211</v>
      </c>
      <c r="C1359" s="8">
        <v>46064</v>
      </c>
      <c r="D1359" s="8">
        <v>45881</v>
      </c>
      <c r="E1359" s="8">
        <v>45738</v>
      </c>
    </row>
    <row r="1360" spans="1:5" x14ac:dyDescent="0.25">
      <c r="A1360" s="1" t="s">
        <v>1350</v>
      </c>
      <c r="B1360" s="8">
        <v>46272</v>
      </c>
      <c r="C1360" s="8">
        <v>46199</v>
      </c>
      <c r="D1360" s="8">
        <v>46127</v>
      </c>
      <c r="E1360" s="8">
        <v>46050</v>
      </c>
    </row>
    <row r="1361" spans="1:5" x14ac:dyDescent="0.25">
      <c r="A1361" s="1" t="s">
        <v>1351</v>
      </c>
      <c r="B1361" s="8">
        <v>46296</v>
      </c>
      <c r="C1361" s="8">
        <v>46203</v>
      </c>
      <c r="D1361" s="8">
        <v>46153</v>
      </c>
      <c r="E1361" s="8">
        <v>46142</v>
      </c>
    </row>
    <row r="1362" spans="1:5" x14ac:dyDescent="0.25">
      <c r="A1362" s="1" t="s">
        <v>1352</v>
      </c>
      <c r="B1362" s="8">
        <v>46150</v>
      </c>
      <c r="C1362" s="8">
        <v>45986</v>
      </c>
      <c r="D1362" s="8"/>
      <c r="E1362" s="8"/>
    </row>
    <row r="1363" spans="1:5" x14ac:dyDescent="0.25">
      <c r="A1363" s="1" t="s">
        <v>1354</v>
      </c>
      <c r="B1363" s="8">
        <v>46269</v>
      </c>
      <c r="C1363" s="8">
        <v>46188</v>
      </c>
      <c r="D1363" s="8">
        <v>46100</v>
      </c>
      <c r="E1363" s="8">
        <v>46015</v>
      </c>
    </row>
    <row r="1364" spans="1:5" x14ac:dyDescent="0.25">
      <c r="A1364" s="1" t="s">
        <v>1353</v>
      </c>
      <c r="B1364" s="8">
        <v>46302</v>
      </c>
      <c r="C1364" s="8">
        <v>46207</v>
      </c>
      <c r="D1364" s="8">
        <v>46105</v>
      </c>
      <c r="E1364" s="8">
        <v>46031</v>
      </c>
    </row>
    <row r="1365" spans="1:5" x14ac:dyDescent="0.25">
      <c r="A1365" s="1" t="s">
        <v>1356</v>
      </c>
      <c r="B1365" s="8">
        <v>46228</v>
      </c>
      <c r="C1365" s="8">
        <v>45527</v>
      </c>
      <c r="D1365" s="8">
        <v>45283</v>
      </c>
      <c r="E1365" s="8">
        <v>45103</v>
      </c>
    </row>
    <row r="1366" spans="1:5" x14ac:dyDescent="0.25">
      <c r="A1366" s="1" t="s">
        <v>1355</v>
      </c>
      <c r="B1366" s="8">
        <v>46225</v>
      </c>
      <c r="C1366" s="8">
        <v>46017</v>
      </c>
      <c r="D1366" s="8">
        <v>45841</v>
      </c>
      <c r="E1366" s="8">
        <v>45635</v>
      </c>
    </row>
    <row r="1367" spans="1:5" x14ac:dyDescent="0.25">
      <c r="A1367" s="1" t="s">
        <v>1357</v>
      </c>
      <c r="B1367" s="8">
        <v>46256</v>
      </c>
      <c r="C1367" s="8">
        <v>46193</v>
      </c>
      <c r="D1367" s="8">
        <v>46101</v>
      </c>
      <c r="E1367" s="8">
        <v>45833</v>
      </c>
    </row>
    <row r="1368" spans="1:5" x14ac:dyDescent="0.25">
      <c r="A1368" s="1" t="s">
        <v>1359</v>
      </c>
      <c r="B1368" s="8">
        <v>46302</v>
      </c>
      <c r="C1368" s="8">
        <v>46115</v>
      </c>
      <c r="D1368" s="8">
        <v>46001</v>
      </c>
      <c r="E1368" s="8">
        <v>45227</v>
      </c>
    </row>
    <row r="1369" spans="1:5" x14ac:dyDescent="0.25">
      <c r="A1369" s="1" t="s">
        <v>1360</v>
      </c>
      <c r="B1369" s="8">
        <v>46059</v>
      </c>
      <c r="C1369" s="8">
        <v>45848</v>
      </c>
      <c r="D1369" s="8">
        <v>45709</v>
      </c>
      <c r="E1369" s="8">
        <v>45510</v>
      </c>
    </row>
    <row r="1370" spans="1:5" x14ac:dyDescent="0.25">
      <c r="A1370" s="1" t="s">
        <v>1358</v>
      </c>
      <c r="B1370" s="8">
        <v>46272</v>
      </c>
      <c r="C1370" s="8">
        <v>46188</v>
      </c>
      <c r="D1370" s="8">
        <v>46094</v>
      </c>
      <c r="E1370" s="8">
        <v>46011</v>
      </c>
    </row>
    <row r="1371" spans="1:5" x14ac:dyDescent="0.25">
      <c r="A1371" s="1" t="s">
        <v>1361</v>
      </c>
      <c r="B1371" s="8"/>
      <c r="C1371" s="8"/>
      <c r="D1371" s="8"/>
      <c r="E1371" s="8"/>
    </row>
    <row r="1372" spans="1:5" x14ac:dyDescent="0.25">
      <c r="A1372" s="1" t="s">
        <v>1362</v>
      </c>
      <c r="B1372" s="8">
        <v>45231</v>
      </c>
      <c r="C1372" s="8">
        <v>44924</v>
      </c>
      <c r="D1372" s="8">
        <v>44737</v>
      </c>
      <c r="E1372" s="8"/>
    </row>
    <row r="1373" spans="1:5" x14ac:dyDescent="0.25">
      <c r="A1373" s="1" t="s">
        <v>1365</v>
      </c>
      <c r="B1373" s="8"/>
      <c r="C1373" s="8"/>
      <c r="D1373" s="8"/>
      <c r="E1373" s="8"/>
    </row>
    <row r="1374" spans="1:5" x14ac:dyDescent="0.25">
      <c r="A1374" s="1" t="s">
        <v>1364</v>
      </c>
      <c r="B1374" s="8"/>
      <c r="C1374" s="8"/>
      <c r="D1374" s="8"/>
      <c r="E1374" s="8"/>
    </row>
    <row r="1375" spans="1:5" x14ac:dyDescent="0.25">
      <c r="A1375" s="1" t="s">
        <v>1363</v>
      </c>
      <c r="B1375" s="8">
        <v>45099</v>
      </c>
      <c r="C1375" s="8">
        <v>44923</v>
      </c>
      <c r="D1375" s="8">
        <v>44918</v>
      </c>
      <c r="E1375" s="8">
        <v>44751</v>
      </c>
    </row>
    <row r="1376" spans="1:5" x14ac:dyDescent="0.25">
      <c r="A1376" s="1" t="s">
        <v>1367</v>
      </c>
      <c r="B1376" s="8">
        <v>46275</v>
      </c>
      <c r="C1376" s="8"/>
      <c r="D1376" s="8"/>
      <c r="E1376" s="8"/>
    </row>
    <row r="1377" spans="1:5" x14ac:dyDescent="0.25">
      <c r="A1377" s="1" t="s">
        <v>1366</v>
      </c>
      <c r="B1377" s="8"/>
      <c r="C1377" s="8"/>
      <c r="D1377" s="8"/>
      <c r="E1377" s="8"/>
    </row>
    <row r="1378" spans="1:5" x14ac:dyDescent="0.25">
      <c r="A1378" s="1" t="s">
        <v>1368</v>
      </c>
      <c r="B1378" s="8">
        <v>46160</v>
      </c>
      <c r="C1378" s="8">
        <v>46072</v>
      </c>
      <c r="D1378" s="8">
        <v>45841</v>
      </c>
      <c r="E1378" s="8">
        <v>45682</v>
      </c>
    </row>
    <row r="1379" spans="1:5" x14ac:dyDescent="0.25">
      <c r="A1379" s="1" t="s">
        <v>1369</v>
      </c>
      <c r="B1379" s="8"/>
      <c r="C1379" s="8"/>
      <c r="D1379" s="8"/>
      <c r="E1379" s="8"/>
    </row>
    <row r="1380" spans="1:5" x14ac:dyDescent="0.25">
      <c r="A1380" s="1" t="s">
        <v>1370</v>
      </c>
      <c r="B1380" s="8"/>
      <c r="C1380" s="8"/>
      <c r="D1380" s="8"/>
      <c r="E1380" s="8"/>
    </row>
    <row r="1381" spans="1:5" x14ac:dyDescent="0.25">
      <c r="A1381" s="1" t="s">
        <v>1371</v>
      </c>
      <c r="B1381" s="8">
        <v>46261</v>
      </c>
      <c r="C1381" s="8">
        <v>46042</v>
      </c>
      <c r="D1381" s="8">
        <v>45845</v>
      </c>
      <c r="E1381" s="8">
        <v>45713</v>
      </c>
    </row>
    <row r="1382" spans="1:5" x14ac:dyDescent="0.25">
      <c r="A1382" s="1" t="s">
        <v>1373</v>
      </c>
      <c r="B1382" s="8">
        <v>45841</v>
      </c>
      <c r="C1382" s="8">
        <v>45601</v>
      </c>
      <c r="D1382" s="8">
        <v>45386</v>
      </c>
      <c r="E1382" s="8">
        <v>45273</v>
      </c>
    </row>
    <row r="1383" spans="1:5" x14ac:dyDescent="0.25">
      <c r="A1383" s="1" t="s">
        <v>1372</v>
      </c>
      <c r="B1383" s="8">
        <v>46130</v>
      </c>
      <c r="C1383" s="8">
        <v>46014</v>
      </c>
      <c r="D1383" s="8">
        <v>45750</v>
      </c>
      <c r="E1383" s="8">
        <v>45601</v>
      </c>
    </row>
    <row r="1384" spans="1:5" x14ac:dyDescent="0.25">
      <c r="A1384" s="1" t="s">
        <v>1374</v>
      </c>
      <c r="B1384" s="8">
        <v>45118</v>
      </c>
      <c r="C1384" s="8">
        <v>44978</v>
      </c>
      <c r="D1384" s="8"/>
      <c r="E1384" s="8"/>
    </row>
    <row r="1385" spans="1:5" x14ac:dyDescent="0.25">
      <c r="A1385" s="1" t="s">
        <v>1375</v>
      </c>
      <c r="B1385" s="8">
        <v>46000</v>
      </c>
      <c r="C1385" s="8">
        <v>45869</v>
      </c>
      <c r="D1385" s="8">
        <v>45199</v>
      </c>
      <c r="E1385" s="8">
        <v>45076</v>
      </c>
    </row>
    <row r="1386" spans="1:5" x14ac:dyDescent="0.25">
      <c r="A1386" s="1" t="s">
        <v>1376</v>
      </c>
      <c r="B1386" s="8">
        <v>46170</v>
      </c>
      <c r="C1386" s="8">
        <v>46000</v>
      </c>
      <c r="D1386" s="8">
        <v>45794</v>
      </c>
      <c r="E1386" s="8">
        <v>45612</v>
      </c>
    </row>
    <row r="1387" spans="1:5" x14ac:dyDescent="0.25">
      <c r="A1387" s="1" t="s">
        <v>1377</v>
      </c>
      <c r="B1387" s="8">
        <v>46316</v>
      </c>
      <c r="C1387" s="8">
        <v>46139</v>
      </c>
      <c r="D1387" s="8">
        <v>46015</v>
      </c>
      <c r="E1387" s="8">
        <v>45794</v>
      </c>
    </row>
    <row r="1388" spans="1:5" x14ac:dyDescent="0.25">
      <c r="A1388" s="1" t="s">
        <v>1378</v>
      </c>
      <c r="B1388" s="8">
        <v>44742</v>
      </c>
      <c r="C1388" s="8"/>
      <c r="D1388" s="8"/>
      <c r="E1388" s="8"/>
    </row>
    <row r="1389" spans="1:5" x14ac:dyDescent="0.25">
      <c r="A1389" s="1" t="s">
        <v>1380</v>
      </c>
      <c r="B1389" s="8">
        <v>44742</v>
      </c>
      <c r="C1389" s="8"/>
      <c r="D1389" s="8"/>
      <c r="E1389" s="8"/>
    </row>
    <row r="1390" spans="1:5" x14ac:dyDescent="0.25">
      <c r="A1390" s="1" t="s">
        <v>1379</v>
      </c>
      <c r="B1390" s="8">
        <v>46142</v>
      </c>
      <c r="C1390" s="8">
        <v>46008</v>
      </c>
      <c r="D1390" s="8">
        <v>45631</v>
      </c>
      <c r="E1390" s="8">
        <v>45409</v>
      </c>
    </row>
    <row r="1391" spans="1:5" x14ac:dyDescent="0.25">
      <c r="A1391" s="1" t="s">
        <v>1381</v>
      </c>
      <c r="B1391" s="8"/>
      <c r="C1391" s="8"/>
      <c r="D1391" s="8"/>
      <c r="E1391" s="8"/>
    </row>
    <row r="1392" spans="1:5" x14ac:dyDescent="0.25">
      <c r="A1392" s="1" t="s">
        <v>1382</v>
      </c>
      <c r="B1392" s="8">
        <v>45414</v>
      </c>
      <c r="C1392" s="8">
        <v>45253</v>
      </c>
      <c r="D1392" s="8">
        <v>45156</v>
      </c>
      <c r="E1392" s="8"/>
    </row>
    <row r="1393" spans="1:5" x14ac:dyDescent="0.25">
      <c r="A1393" s="1" t="s">
        <v>1383</v>
      </c>
      <c r="B1393" s="8">
        <v>46100</v>
      </c>
      <c r="C1393" s="8">
        <v>45918</v>
      </c>
      <c r="D1393" s="8">
        <v>45793</v>
      </c>
      <c r="E1393" s="8">
        <v>45589</v>
      </c>
    </row>
    <row r="1394" spans="1:5" x14ac:dyDescent="0.25">
      <c r="A1394" s="1" t="s">
        <v>1384</v>
      </c>
      <c r="B1394" s="8">
        <v>46155</v>
      </c>
      <c r="C1394" s="8">
        <v>46014</v>
      </c>
      <c r="D1394" s="8">
        <v>45779</v>
      </c>
      <c r="E1394" s="8">
        <v>45615</v>
      </c>
    </row>
    <row r="1395" spans="1:5" x14ac:dyDescent="0.25">
      <c r="A1395" s="1" t="s">
        <v>1385</v>
      </c>
      <c r="B1395" s="8">
        <v>46317</v>
      </c>
      <c r="C1395" s="8">
        <v>46174</v>
      </c>
      <c r="D1395" s="8">
        <v>45927</v>
      </c>
      <c r="E1395" s="8">
        <v>45775</v>
      </c>
    </row>
    <row r="1396" spans="1:5" x14ac:dyDescent="0.25">
      <c r="A1396" s="1" t="s">
        <v>1387</v>
      </c>
      <c r="B1396" s="8">
        <v>46062</v>
      </c>
      <c r="C1396" s="8">
        <v>45936</v>
      </c>
      <c r="D1396" s="8">
        <v>45755</v>
      </c>
      <c r="E1396" s="8">
        <v>45555</v>
      </c>
    </row>
    <row r="1397" spans="1:5" x14ac:dyDescent="0.25">
      <c r="A1397" s="1" t="s">
        <v>1386</v>
      </c>
      <c r="B1397" s="8"/>
      <c r="C1397" s="8"/>
      <c r="D1397" s="8"/>
      <c r="E1397" s="8"/>
    </row>
    <row r="1398" spans="1:5" x14ac:dyDescent="0.25">
      <c r="A1398" s="1" t="s">
        <v>1388</v>
      </c>
      <c r="B1398" s="8"/>
      <c r="C1398" s="8"/>
      <c r="D1398" s="8"/>
      <c r="E1398" s="8"/>
    </row>
    <row r="1399" spans="1:5" x14ac:dyDescent="0.25">
      <c r="A1399" s="1" t="s">
        <v>1391</v>
      </c>
      <c r="B1399" s="8">
        <v>46154</v>
      </c>
      <c r="C1399" s="8">
        <v>46036</v>
      </c>
      <c r="D1399" s="8">
        <v>45786</v>
      </c>
      <c r="E1399" s="8">
        <v>45625</v>
      </c>
    </row>
    <row r="1400" spans="1:5" x14ac:dyDescent="0.25">
      <c r="A1400" s="1" t="s">
        <v>1389</v>
      </c>
      <c r="B1400" s="8">
        <v>46135</v>
      </c>
      <c r="C1400" s="8">
        <v>45978</v>
      </c>
      <c r="D1400" s="8">
        <v>45819</v>
      </c>
      <c r="E1400" s="8">
        <v>45566</v>
      </c>
    </row>
    <row r="1401" spans="1:5" x14ac:dyDescent="0.25">
      <c r="A1401" s="1" t="s">
        <v>1390</v>
      </c>
      <c r="B1401" s="8">
        <v>45925</v>
      </c>
      <c r="C1401" s="8">
        <v>45775</v>
      </c>
      <c r="D1401" s="8">
        <v>45400</v>
      </c>
      <c r="E1401" s="8"/>
    </row>
    <row r="1402" spans="1:5" x14ac:dyDescent="0.25">
      <c r="A1402" s="1" t="s">
        <v>1393</v>
      </c>
      <c r="B1402" s="8"/>
      <c r="C1402" s="8"/>
      <c r="D1402" s="8"/>
      <c r="E1402" s="8"/>
    </row>
    <row r="1403" spans="1:5" x14ac:dyDescent="0.25">
      <c r="A1403" s="1" t="s">
        <v>1392</v>
      </c>
      <c r="B1403" s="8">
        <v>46324</v>
      </c>
      <c r="C1403" s="8">
        <v>46134</v>
      </c>
      <c r="D1403" s="8">
        <v>45931</v>
      </c>
      <c r="E1403" s="8">
        <v>45754</v>
      </c>
    </row>
    <row r="1404" spans="1:5" x14ac:dyDescent="0.25">
      <c r="A1404" s="1" t="s">
        <v>1394</v>
      </c>
      <c r="B1404" s="8"/>
      <c r="C1404" s="8"/>
      <c r="D1404" s="8"/>
      <c r="E1404" s="8"/>
    </row>
    <row r="1405" spans="1:5" x14ac:dyDescent="0.25">
      <c r="A1405" s="1" t="s">
        <v>1395</v>
      </c>
      <c r="B1405" s="8"/>
      <c r="C1405" s="8"/>
      <c r="D1405" s="8"/>
      <c r="E1405" s="8"/>
    </row>
    <row r="1406" spans="1:5" x14ac:dyDescent="0.25">
      <c r="A1406" s="1" t="s">
        <v>1397</v>
      </c>
      <c r="B1406" s="8"/>
      <c r="C1406" s="8"/>
      <c r="D1406" s="8"/>
      <c r="E1406" s="8"/>
    </row>
    <row r="1407" spans="1:5" x14ac:dyDescent="0.25">
      <c r="A1407" s="1" t="s">
        <v>1396</v>
      </c>
      <c r="B1407" s="8"/>
      <c r="C1407" s="8"/>
      <c r="D1407" s="8"/>
      <c r="E1407" s="8"/>
    </row>
    <row r="1408" spans="1:5" x14ac:dyDescent="0.25">
      <c r="A1408" s="1" t="s">
        <v>1398</v>
      </c>
      <c r="B1408" s="8">
        <v>46240</v>
      </c>
      <c r="C1408" s="8">
        <v>46083</v>
      </c>
      <c r="D1408" s="8">
        <v>45892</v>
      </c>
      <c r="E1408" s="8">
        <v>45689</v>
      </c>
    </row>
    <row r="1409" spans="1:5" x14ac:dyDescent="0.25">
      <c r="A1409" s="1" t="s">
        <v>1399</v>
      </c>
      <c r="B1409" s="8">
        <v>45782</v>
      </c>
      <c r="C1409" s="8">
        <v>45582</v>
      </c>
      <c r="D1409" s="8"/>
      <c r="E1409" s="8"/>
    </row>
    <row r="1410" spans="1:5" x14ac:dyDescent="0.25">
      <c r="A1410" s="1" t="s">
        <v>1400</v>
      </c>
      <c r="B1410" s="8"/>
      <c r="C1410" s="8"/>
      <c r="D1410" s="8"/>
      <c r="E1410" s="8"/>
    </row>
    <row r="1411" spans="1:5" x14ac:dyDescent="0.25">
      <c r="A1411" s="1" t="s">
        <v>1401</v>
      </c>
      <c r="B1411" s="8">
        <v>46240</v>
      </c>
      <c r="C1411" s="8">
        <v>46071</v>
      </c>
      <c r="D1411" s="8">
        <v>45840</v>
      </c>
      <c r="E1411" s="8">
        <v>45659</v>
      </c>
    </row>
    <row r="1412" spans="1:5" x14ac:dyDescent="0.25">
      <c r="A1412" s="1" t="s">
        <v>1402</v>
      </c>
      <c r="B1412" s="8"/>
      <c r="C1412" s="8"/>
      <c r="D1412" s="8"/>
      <c r="E1412" s="8"/>
    </row>
    <row r="1413" spans="1:5" x14ac:dyDescent="0.25">
      <c r="A1413" s="1" t="s">
        <v>1404</v>
      </c>
      <c r="B1413" s="8">
        <v>46239</v>
      </c>
      <c r="C1413" s="8">
        <v>46099</v>
      </c>
      <c r="D1413" s="8">
        <v>45938</v>
      </c>
      <c r="E1413" s="8">
        <v>45661</v>
      </c>
    </row>
    <row r="1414" spans="1:5" x14ac:dyDescent="0.25">
      <c r="A1414" s="1" t="s">
        <v>1403</v>
      </c>
      <c r="B1414" s="8"/>
      <c r="C1414" s="8"/>
      <c r="D1414" s="8"/>
      <c r="E1414" s="8"/>
    </row>
    <row r="1415" spans="1:5" x14ac:dyDescent="0.25">
      <c r="A1415" s="1" t="s">
        <v>1406</v>
      </c>
      <c r="B1415" s="8"/>
      <c r="C1415" s="8"/>
      <c r="D1415" s="8"/>
      <c r="E1415" s="8"/>
    </row>
    <row r="1416" spans="1:5" x14ac:dyDescent="0.25">
      <c r="A1416" s="1" t="s">
        <v>1405</v>
      </c>
      <c r="B1416" s="8"/>
      <c r="C1416" s="8"/>
      <c r="D1416" s="8"/>
      <c r="E1416" s="8"/>
    </row>
    <row r="1417" spans="1:5" x14ac:dyDescent="0.25">
      <c r="A1417" s="1" t="s">
        <v>1407</v>
      </c>
      <c r="B1417" s="8">
        <v>46310</v>
      </c>
      <c r="C1417" s="8">
        <v>46142</v>
      </c>
      <c r="D1417" s="8">
        <v>45944</v>
      </c>
      <c r="E1417" s="8">
        <v>45723</v>
      </c>
    </row>
    <row r="1418" spans="1:5" x14ac:dyDescent="0.25">
      <c r="A1418" s="1" t="s">
        <v>1408</v>
      </c>
      <c r="B1418" s="8"/>
      <c r="C1418" s="8"/>
      <c r="D1418" s="8"/>
      <c r="E1418" s="8"/>
    </row>
    <row r="1419" spans="1:5" x14ac:dyDescent="0.25">
      <c r="A1419" s="1" t="s">
        <v>1410</v>
      </c>
      <c r="B1419" s="8">
        <v>46256</v>
      </c>
      <c r="C1419" s="8">
        <v>46086</v>
      </c>
      <c r="D1419" s="8">
        <v>45910</v>
      </c>
      <c r="E1419" s="8">
        <v>45717</v>
      </c>
    </row>
    <row r="1420" spans="1:5" x14ac:dyDescent="0.25">
      <c r="A1420" s="1" t="s">
        <v>1409</v>
      </c>
      <c r="B1420" s="8">
        <v>46171</v>
      </c>
      <c r="C1420" s="8">
        <v>46045</v>
      </c>
      <c r="D1420" s="8">
        <v>45639</v>
      </c>
      <c r="E1420" s="8">
        <v>45429</v>
      </c>
    </row>
    <row r="1421" spans="1:5" x14ac:dyDescent="0.25">
      <c r="A1421" s="1" t="s">
        <v>1411</v>
      </c>
      <c r="B1421" s="8"/>
      <c r="C1421" s="8"/>
      <c r="D1421" s="8"/>
      <c r="E1421" s="8"/>
    </row>
    <row r="1422" spans="1:5" x14ac:dyDescent="0.25">
      <c r="A1422" s="1" t="s">
        <v>1413</v>
      </c>
      <c r="B1422" s="8"/>
      <c r="C1422" s="8"/>
      <c r="D1422" s="8"/>
      <c r="E1422" s="8"/>
    </row>
    <row r="1423" spans="1:5" x14ac:dyDescent="0.25">
      <c r="A1423" s="1" t="s">
        <v>1412</v>
      </c>
      <c r="B1423" s="8"/>
      <c r="C1423" s="8"/>
      <c r="D1423" s="8"/>
      <c r="E1423" s="8"/>
    </row>
    <row r="1424" spans="1:5" x14ac:dyDescent="0.25">
      <c r="A1424" s="1" t="s">
        <v>1414</v>
      </c>
      <c r="B1424" s="8"/>
      <c r="C1424" s="8"/>
      <c r="D1424" s="8"/>
      <c r="E1424" s="8"/>
    </row>
    <row r="1425" spans="1:5" x14ac:dyDescent="0.25">
      <c r="A1425" s="1" t="s">
        <v>1415</v>
      </c>
      <c r="B1425" s="8">
        <v>46257</v>
      </c>
      <c r="C1425" s="8">
        <v>46037</v>
      </c>
      <c r="D1425" s="8">
        <v>45891</v>
      </c>
      <c r="E1425" s="8"/>
    </row>
    <row r="1426" spans="1:5" x14ac:dyDescent="0.25">
      <c r="A1426" s="1" t="s">
        <v>1416</v>
      </c>
      <c r="B1426" s="8">
        <v>46202</v>
      </c>
      <c r="C1426" s="8">
        <v>46027</v>
      </c>
      <c r="D1426" s="8">
        <v>45786</v>
      </c>
      <c r="E1426" s="8">
        <v>45658</v>
      </c>
    </row>
    <row r="1427" spans="1:5" x14ac:dyDescent="0.25">
      <c r="A1427" s="1" t="s">
        <v>1417</v>
      </c>
      <c r="B1427" s="8">
        <v>46284</v>
      </c>
      <c r="C1427" s="8">
        <v>46135</v>
      </c>
      <c r="D1427" s="8">
        <v>45931</v>
      </c>
      <c r="E1427" s="8">
        <v>45736</v>
      </c>
    </row>
    <row r="1428" spans="1:5" x14ac:dyDescent="0.25">
      <c r="A1428" s="1" t="s">
        <v>1418</v>
      </c>
      <c r="B1428" s="8">
        <v>46028</v>
      </c>
      <c r="C1428" s="8">
        <v>45885</v>
      </c>
      <c r="D1428" s="8">
        <v>45688</v>
      </c>
      <c r="E1428" s="8">
        <v>45513</v>
      </c>
    </row>
    <row r="1429" spans="1:5" x14ac:dyDescent="0.25">
      <c r="A1429" s="1" t="s">
        <v>1419</v>
      </c>
      <c r="B1429" s="8"/>
      <c r="C1429" s="8"/>
      <c r="D1429" s="8"/>
      <c r="E1429" s="8"/>
    </row>
    <row r="1430" spans="1:5" x14ac:dyDescent="0.25">
      <c r="A1430" s="1" t="s">
        <v>1420</v>
      </c>
      <c r="B1430" s="8"/>
      <c r="C1430" s="8"/>
      <c r="D1430" s="8"/>
      <c r="E1430" s="8"/>
    </row>
    <row r="1431" spans="1:5" x14ac:dyDescent="0.25">
      <c r="A1431" s="1" t="s">
        <v>1421</v>
      </c>
      <c r="B1431" s="8"/>
      <c r="C1431" s="8"/>
      <c r="D1431" s="8"/>
      <c r="E1431" s="8"/>
    </row>
    <row r="1432" spans="1:5" x14ac:dyDescent="0.25">
      <c r="A1432" s="1" t="s">
        <v>1422</v>
      </c>
      <c r="B1432" s="8">
        <v>45208</v>
      </c>
      <c r="C1432" s="8">
        <v>45051</v>
      </c>
      <c r="D1432" s="8"/>
      <c r="E1432" s="8"/>
    </row>
    <row r="1433" spans="1:5" x14ac:dyDescent="0.25">
      <c r="A1433" s="1" t="s">
        <v>1423</v>
      </c>
      <c r="B1433" s="8">
        <v>44882</v>
      </c>
      <c r="C1433" s="8">
        <v>44685</v>
      </c>
      <c r="D1433" s="8"/>
      <c r="E1433" s="8"/>
    </row>
    <row r="1434" spans="1:5" x14ac:dyDescent="0.25">
      <c r="A1434" s="1" t="s">
        <v>1424</v>
      </c>
      <c r="B1434" s="8"/>
      <c r="C1434" s="8"/>
      <c r="D1434" s="8"/>
      <c r="E1434" s="8"/>
    </row>
    <row r="1435" spans="1:5" x14ac:dyDescent="0.25">
      <c r="A1435" s="1" t="s">
        <v>1425</v>
      </c>
      <c r="B1435" s="8">
        <v>46231</v>
      </c>
      <c r="C1435" s="8">
        <v>46056</v>
      </c>
      <c r="D1435" s="8"/>
      <c r="E1435" s="8"/>
    </row>
    <row r="1436" spans="1:5" x14ac:dyDescent="0.25">
      <c r="A1436" s="1" t="s">
        <v>1426</v>
      </c>
      <c r="B1436" s="8">
        <v>45234</v>
      </c>
      <c r="C1436" s="8">
        <v>45100</v>
      </c>
      <c r="D1436" s="8">
        <v>44917</v>
      </c>
      <c r="E1436" s="8"/>
    </row>
    <row r="1437" spans="1:5" x14ac:dyDescent="0.25">
      <c r="A1437" s="1" t="s">
        <v>1428</v>
      </c>
      <c r="B1437" s="8">
        <v>45418</v>
      </c>
      <c r="C1437" s="8">
        <v>45250</v>
      </c>
      <c r="D1437" s="8"/>
      <c r="E1437" s="8"/>
    </row>
    <row r="1438" spans="1:5" x14ac:dyDescent="0.25">
      <c r="A1438" s="1" t="s">
        <v>1427</v>
      </c>
      <c r="B1438" s="8">
        <v>46210</v>
      </c>
      <c r="C1438" s="8">
        <v>46010</v>
      </c>
      <c r="D1438" s="8">
        <v>45875</v>
      </c>
      <c r="E1438" s="8">
        <v>45666</v>
      </c>
    </row>
    <row r="1439" spans="1:5" x14ac:dyDescent="0.25">
      <c r="A1439" s="1" t="s">
        <v>1429</v>
      </c>
      <c r="B1439" s="8">
        <v>45140</v>
      </c>
      <c r="C1439" s="8">
        <v>44981</v>
      </c>
      <c r="D1439" s="8">
        <v>44823</v>
      </c>
      <c r="E1439" s="8"/>
    </row>
    <row r="1440" spans="1:5" x14ac:dyDescent="0.25">
      <c r="A1440" s="1" t="s">
        <v>1430</v>
      </c>
      <c r="B1440" s="8">
        <v>46247</v>
      </c>
      <c r="C1440" s="8">
        <v>46065</v>
      </c>
      <c r="D1440" s="8">
        <v>45860</v>
      </c>
      <c r="E1440" s="8">
        <v>45708</v>
      </c>
    </row>
    <row r="1441" spans="1:5" x14ac:dyDescent="0.25">
      <c r="A1441" s="1" t="s">
        <v>1431</v>
      </c>
      <c r="B1441" s="8">
        <v>46205</v>
      </c>
      <c r="C1441" s="8">
        <v>46030</v>
      </c>
      <c r="D1441" s="8">
        <v>45846</v>
      </c>
      <c r="E1441" s="8">
        <v>45660</v>
      </c>
    </row>
    <row r="1442" spans="1:5" x14ac:dyDescent="0.25">
      <c r="A1442" s="1" t="s">
        <v>1432</v>
      </c>
      <c r="B1442" s="8">
        <v>45365</v>
      </c>
      <c r="C1442" s="8">
        <v>45132</v>
      </c>
      <c r="D1442" s="8"/>
      <c r="E1442" s="8"/>
    </row>
    <row r="1443" spans="1:5" x14ac:dyDescent="0.25">
      <c r="A1443" s="1" t="s">
        <v>1433</v>
      </c>
      <c r="B1443" s="8"/>
      <c r="C1443" s="8"/>
      <c r="D1443" s="8"/>
      <c r="E1443" s="8"/>
    </row>
    <row r="1444" spans="1:5" x14ac:dyDescent="0.25">
      <c r="A1444" s="1" t="s">
        <v>1434</v>
      </c>
      <c r="B1444" s="8">
        <v>46240</v>
      </c>
      <c r="C1444" s="8">
        <v>46083</v>
      </c>
      <c r="D1444" s="8">
        <v>45892</v>
      </c>
      <c r="E1444" s="8">
        <v>45726</v>
      </c>
    </row>
    <row r="1445" spans="1:5" x14ac:dyDescent="0.25">
      <c r="A1445" s="1" t="s">
        <v>1435</v>
      </c>
      <c r="B1445" s="8">
        <v>46257</v>
      </c>
      <c r="C1445" s="8">
        <v>46010</v>
      </c>
      <c r="D1445" s="8">
        <v>45875</v>
      </c>
      <c r="E1445" s="8">
        <v>45504</v>
      </c>
    </row>
    <row r="1446" spans="1:5" x14ac:dyDescent="0.25">
      <c r="A1446" s="1" t="s">
        <v>1437</v>
      </c>
      <c r="B1446" s="8"/>
      <c r="C1446" s="8"/>
      <c r="D1446" s="8"/>
      <c r="E1446" s="8"/>
    </row>
    <row r="1447" spans="1:5" x14ac:dyDescent="0.25">
      <c r="A1447" s="1" t="s">
        <v>1436</v>
      </c>
      <c r="B1447" s="8">
        <v>45841</v>
      </c>
      <c r="C1447" s="8">
        <v>45659</v>
      </c>
      <c r="D1447" s="8">
        <v>45442</v>
      </c>
      <c r="E1447" s="8">
        <v>45323</v>
      </c>
    </row>
    <row r="1448" spans="1:5" x14ac:dyDescent="0.25">
      <c r="A1448" s="1" t="s">
        <v>1440</v>
      </c>
      <c r="B1448" s="8">
        <v>45461</v>
      </c>
      <c r="C1448" s="8">
        <v>45277</v>
      </c>
      <c r="D1448" s="8"/>
      <c r="E1448" s="8"/>
    </row>
    <row r="1449" spans="1:5" x14ac:dyDescent="0.25">
      <c r="A1449" s="1" t="s">
        <v>1439</v>
      </c>
      <c r="B1449" s="8">
        <v>45141</v>
      </c>
      <c r="C1449" s="8">
        <v>44981</v>
      </c>
      <c r="D1449" s="8"/>
      <c r="E1449" s="8"/>
    </row>
    <row r="1450" spans="1:5" x14ac:dyDescent="0.25">
      <c r="A1450" s="1" t="s">
        <v>1438</v>
      </c>
      <c r="B1450" s="8">
        <v>46326</v>
      </c>
      <c r="C1450" s="8">
        <v>46106</v>
      </c>
      <c r="D1450" s="8">
        <v>45918</v>
      </c>
      <c r="E1450" s="8">
        <v>45717</v>
      </c>
    </row>
    <row r="1451" spans="1:5" x14ac:dyDescent="0.25">
      <c r="A1451" s="1" t="s">
        <v>1443</v>
      </c>
      <c r="B1451" s="8">
        <v>46217</v>
      </c>
      <c r="C1451" s="8">
        <v>46027</v>
      </c>
      <c r="D1451" s="8">
        <v>45890</v>
      </c>
      <c r="E1451" s="8">
        <v>45610</v>
      </c>
    </row>
    <row r="1452" spans="1:5" x14ac:dyDescent="0.25">
      <c r="A1452" s="1" t="s">
        <v>1441</v>
      </c>
      <c r="B1452" s="8">
        <v>46270</v>
      </c>
      <c r="C1452" s="8">
        <v>46035</v>
      </c>
      <c r="D1452" s="8">
        <v>45905</v>
      </c>
      <c r="E1452" s="8">
        <v>45686</v>
      </c>
    </row>
    <row r="1453" spans="1:5" x14ac:dyDescent="0.25">
      <c r="A1453" s="1" t="s">
        <v>1442</v>
      </c>
      <c r="B1453" s="8">
        <v>44929</v>
      </c>
      <c r="C1453" s="8">
        <v>44772</v>
      </c>
      <c r="D1453" s="8"/>
      <c r="E1453" s="8"/>
    </row>
    <row r="1454" spans="1:5" x14ac:dyDescent="0.25">
      <c r="A1454" s="1" t="s">
        <v>1444</v>
      </c>
      <c r="B1454" s="8"/>
      <c r="C1454" s="8"/>
      <c r="D1454" s="8"/>
      <c r="E1454" s="8"/>
    </row>
    <row r="1455" spans="1:5" x14ac:dyDescent="0.25">
      <c r="A1455" s="1" t="s">
        <v>1445</v>
      </c>
      <c r="B1455" s="8">
        <v>46266</v>
      </c>
      <c r="C1455" s="8">
        <v>46060</v>
      </c>
      <c r="D1455" s="8">
        <v>45875</v>
      </c>
      <c r="E1455" s="8">
        <v>45701</v>
      </c>
    </row>
    <row r="1456" spans="1:5" x14ac:dyDescent="0.25">
      <c r="A1456" s="1" t="s">
        <v>1446</v>
      </c>
      <c r="B1456" s="8">
        <v>46262</v>
      </c>
      <c r="C1456" s="8">
        <v>46130</v>
      </c>
      <c r="D1456" s="8">
        <v>45946</v>
      </c>
      <c r="E1456" s="8">
        <v>45624</v>
      </c>
    </row>
    <row r="1457" spans="1:5" x14ac:dyDescent="0.25">
      <c r="A1457" s="1" t="s">
        <v>1447</v>
      </c>
      <c r="B1457" s="8"/>
      <c r="C1457" s="8"/>
      <c r="D1457" s="8"/>
      <c r="E1457" s="8"/>
    </row>
    <row r="1458" spans="1:5" x14ac:dyDescent="0.25">
      <c r="A1458" s="1" t="s">
        <v>1449</v>
      </c>
      <c r="B1458" s="8">
        <v>46231</v>
      </c>
      <c r="C1458" s="8">
        <v>46002</v>
      </c>
      <c r="D1458" s="8">
        <v>45897</v>
      </c>
      <c r="E1458" s="8"/>
    </row>
    <row r="1459" spans="1:5" x14ac:dyDescent="0.25">
      <c r="A1459" s="1" t="s">
        <v>1448</v>
      </c>
      <c r="B1459" s="8">
        <v>46282</v>
      </c>
      <c r="C1459" s="8">
        <v>46136</v>
      </c>
      <c r="D1459" s="8">
        <v>45916</v>
      </c>
      <c r="E1459" s="8">
        <v>45735</v>
      </c>
    </row>
    <row r="1460" spans="1:5" x14ac:dyDescent="0.25">
      <c r="A1460" s="1" t="s">
        <v>1450</v>
      </c>
      <c r="B1460" s="8"/>
      <c r="C1460" s="8"/>
      <c r="D1460" s="8"/>
      <c r="E1460" s="8"/>
    </row>
    <row r="1461" spans="1:5" x14ac:dyDescent="0.25">
      <c r="A1461" s="1" t="s">
        <v>1451</v>
      </c>
      <c r="B1461" s="8">
        <v>46171</v>
      </c>
      <c r="C1461" s="8">
        <v>46017</v>
      </c>
      <c r="D1461" s="8">
        <v>45863</v>
      </c>
      <c r="E1461" s="8">
        <v>45629</v>
      </c>
    </row>
    <row r="1462" spans="1:5" x14ac:dyDescent="0.25">
      <c r="A1462" s="1" t="s">
        <v>1452</v>
      </c>
      <c r="B1462" s="8"/>
      <c r="C1462" s="8"/>
      <c r="D1462" s="8"/>
      <c r="E1462" s="8"/>
    </row>
    <row r="1463" spans="1:5" x14ac:dyDescent="0.25">
      <c r="A1463" s="1" t="s">
        <v>1453</v>
      </c>
      <c r="B1463" s="8"/>
      <c r="C1463" s="8"/>
      <c r="D1463" s="8"/>
      <c r="E1463" s="8"/>
    </row>
    <row r="1464" spans="1:5" x14ac:dyDescent="0.25">
      <c r="A1464" s="1" t="s">
        <v>1454</v>
      </c>
      <c r="B1464" s="8">
        <v>45439</v>
      </c>
      <c r="C1464" s="8"/>
      <c r="D1464" s="8"/>
      <c r="E1464" s="8"/>
    </row>
    <row r="1465" spans="1:5" x14ac:dyDescent="0.25">
      <c r="A1465" s="1" t="s">
        <v>1456</v>
      </c>
      <c r="B1465" s="8">
        <v>46189</v>
      </c>
      <c r="C1465" s="8">
        <v>46035</v>
      </c>
      <c r="D1465" s="8">
        <v>45880</v>
      </c>
      <c r="E1465" s="8">
        <v>45663</v>
      </c>
    </row>
    <row r="1466" spans="1:5" x14ac:dyDescent="0.25">
      <c r="A1466" s="1" t="s">
        <v>1455</v>
      </c>
      <c r="B1466" s="8">
        <v>46239</v>
      </c>
      <c r="C1466" s="8">
        <v>46113</v>
      </c>
      <c r="D1466" s="8">
        <v>45833</v>
      </c>
      <c r="E1466" s="8">
        <v>45661</v>
      </c>
    </row>
    <row r="1467" spans="1:5" x14ac:dyDescent="0.25">
      <c r="A1467" s="1" t="s">
        <v>1457</v>
      </c>
      <c r="B1467" s="8">
        <v>46325</v>
      </c>
      <c r="C1467" s="8">
        <v>46134</v>
      </c>
      <c r="D1467" s="8">
        <v>45917</v>
      </c>
      <c r="E1467" s="8">
        <v>45771</v>
      </c>
    </row>
    <row r="1468" spans="1:5" x14ac:dyDescent="0.25">
      <c r="A1468" s="1" t="s">
        <v>1459</v>
      </c>
      <c r="B1468" s="8">
        <v>46275</v>
      </c>
      <c r="C1468" s="8">
        <v>46070</v>
      </c>
      <c r="D1468" s="8">
        <v>46057</v>
      </c>
      <c r="E1468" s="8">
        <v>45994</v>
      </c>
    </row>
    <row r="1469" spans="1:5" x14ac:dyDescent="0.25">
      <c r="A1469" s="1" t="s">
        <v>1462</v>
      </c>
      <c r="B1469" s="8">
        <v>46196</v>
      </c>
      <c r="C1469" s="8">
        <v>46045</v>
      </c>
      <c r="D1469" s="8">
        <v>45853</v>
      </c>
      <c r="E1469" s="8">
        <v>45635</v>
      </c>
    </row>
    <row r="1470" spans="1:5" x14ac:dyDescent="0.25">
      <c r="A1470" s="1" t="s">
        <v>1463</v>
      </c>
      <c r="B1470" s="8"/>
      <c r="C1470" s="8"/>
      <c r="D1470" s="8"/>
      <c r="E1470" s="8"/>
    </row>
    <row r="1471" spans="1:5" x14ac:dyDescent="0.25">
      <c r="A1471" s="1" t="s">
        <v>1461</v>
      </c>
      <c r="B1471" s="8"/>
      <c r="C1471" s="8"/>
      <c r="D1471" s="8"/>
      <c r="E1471" s="8"/>
    </row>
    <row r="1472" spans="1:5" x14ac:dyDescent="0.25">
      <c r="A1472" s="1" t="s">
        <v>1460</v>
      </c>
      <c r="B1472" s="8"/>
      <c r="C1472" s="8"/>
      <c r="D1472" s="8"/>
      <c r="E1472" s="8"/>
    </row>
    <row r="1473" spans="1:5" x14ac:dyDescent="0.25">
      <c r="A1473" s="1" t="s">
        <v>1458</v>
      </c>
      <c r="B1473" s="8"/>
      <c r="C1473" s="8"/>
      <c r="D1473" s="8"/>
      <c r="E1473" s="8"/>
    </row>
    <row r="1474" spans="1:5" x14ac:dyDescent="0.25">
      <c r="A1474" s="1" t="s">
        <v>1465</v>
      </c>
      <c r="B1474" s="8"/>
      <c r="C1474" s="8"/>
      <c r="D1474" s="8"/>
      <c r="E1474" s="8"/>
    </row>
    <row r="1475" spans="1:5" x14ac:dyDescent="0.25">
      <c r="A1475" s="1" t="s">
        <v>1464</v>
      </c>
      <c r="B1475" s="8"/>
      <c r="C1475" s="8"/>
      <c r="D1475" s="8"/>
      <c r="E1475" s="8"/>
    </row>
    <row r="1476" spans="1:5" x14ac:dyDescent="0.25">
      <c r="A1476" s="1" t="s">
        <v>1466</v>
      </c>
      <c r="B1476" s="8">
        <v>44872</v>
      </c>
      <c r="C1476" s="8"/>
      <c r="D1476" s="8"/>
      <c r="E1476" s="8"/>
    </row>
    <row r="1477" spans="1:5" x14ac:dyDescent="0.25">
      <c r="A1477" s="1" t="s">
        <v>1468</v>
      </c>
      <c r="B1477" s="8"/>
      <c r="C1477" s="8"/>
      <c r="D1477" s="8"/>
      <c r="E1477" s="8"/>
    </row>
    <row r="1478" spans="1:5" x14ac:dyDescent="0.25">
      <c r="A1478" s="1" t="s">
        <v>1467</v>
      </c>
      <c r="B1478" s="8">
        <v>44872</v>
      </c>
      <c r="C1478" s="8">
        <v>44685</v>
      </c>
      <c r="D1478" s="8"/>
      <c r="E1478" s="8"/>
    </row>
    <row r="1479" spans="1:5" x14ac:dyDescent="0.25">
      <c r="A1479" s="1" t="s">
        <v>1469</v>
      </c>
      <c r="B1479" s="8">
        <v>46240</v>
      </c>
      <c r="C1479" s="8">
        <v>46083</v>
      </c>
      <c r="D1479" s="8">
        <v>45892</v>
      </c>
      <c r="E1479" s="8">
        <v>45687</v>
      </c>
    </row>
    <row r="1480" spans="1:5" x14ac:dyDescent="0.25">
      <c r="A1480" s="1" t="s">
        <v>1470</v>
      </c>
      <c r="B1480" s="8">
        <v>45565</v>
      </c>
      <c r="C1480" s="8">
        <v>45379</v>
      </c>
      <c r="D1480" s="8">
        <v>45239</v>
      </c>
      <c r="E1480" s="8"/>
    </row>
    <row r="1481" spans="1:5" x14ac:dyDescent="0.25">
      <c r="A1481" s="1" t="s">
        <v>1471</v>
      </c>
      <c r="B1481" s="8"/>
      <c r="C1481" s="8"/>
      <c r="D1481" s="8"/>
      <c r="E1481" s="8"/>
    </row>
    <row r="1482" spans="1:5" x14ac:dyDescent="0.25">
      <c r="A1482" s="1" t="s">
        <v>1472</v>
      </c>
      <c r="B1482" s="8">
        <v>46239</v>
      </c>
      <c r="C1482" s="8">
        <v>46113</v>
      </c>
      <c r="D1482" s="8">
        <v>45833</v>
      </c>
      <c r="E1482" s="8">
        <v>45661</v>
      </c>
    </row>
    <row r="1483" spans="1:5" x14ac:dyDescent="0.25">
      <c r="A1483" s="1" t="s">
        <v>1473</v>
      </c>
      <c r="B1483" s="8">
        <v>46210</v>
      </c>
      <c r="C1483" s="8">
        <v>46034</v>
      </c>
      <c r="D1483" s="8">
        <v>45891</v>
      </c>
      <c r="E1483" s="8">
        <v>45368</v>
      </c>
    </row>
    <row r="1484" spans="1:5" x14ac:dyDescent="0.25">
      <c r="A1484" s="1" t="s">
        <v>1474</v>
      </c>
      <c r="B1484" s="8"/>
      <c r="C1484" s="8"/>
      <c r="D1484" s="8"/>
      <c r="E1484" s="8"/>
    </row>
    <row r="1485" spans="1:5" x14ac:dyDescent="0.25">
      <c r="A1485" s="1" t="s">
        <v>1476</v>
      </c>
      <c r="B1485" s="8"/>
      <c r="C1485" s="8"/>
      <c r="D1485" s="8"/>
      <c r="E1485" s="8"/>
    </row>
    <row r="1486" spans="1:5" x14ac:dyDescent="0.25">
      <c r="A1486" s="1" t="s">
        <v>1475</v>
      </c>
      <c r="B1486" s="8">
        <v>46197</v>
      </c>
      <c r="C1486" s="8">
        <v>46028</v>
      </c>
      <c r="D1486" s="8">
        <v>45891</v>
      </c>
      <c r="E1486" s="8">
        <v>45702</v>
      </c>
    </row>
    <row r="1487" spans="1:5" x14ac:dyDescent="0.25">
      <c r="A1487" s="1" t="s">
        <v>1477</v>
      </c>
      <c r="B1487" s="8"/>
      <c r="C1487" s="8"/>
      <c r="D1487" s="8"/>
      <c r="E1487" s="8"/>
    </row>
    <row r="1488" spans="1:5" x14ac:dyDescent="0.25">
      <c r="A1488" s="1" t="s">
        <v>1478</v>
      </c>
      <c r="B1488" s="8"/>
      <c r="C1488" s="8"/>
      <c r="D1488" s="8"/>
      <c r="E1488" s="8"/>
    </row>
    <row r="1489" spans="1:5" x14ac:dyDescent="0.25">
      <c r="A1489" s="1" t="s">
        <v>1479</v>
      </c>
      <c r="B1489" s="8"/>
      <c r="C1489" s="8"/>
      <c r="D1489" s="8"/>
      <c r="E1489" s="8"/>
    </row>
    <row r="1490" spans="1:5" x14ac:dyDescent="0.25">
      <c r="A1490" s="1" t="s">
        <v>1480</v>
      </c>
      <c r="B1490" s="8"/>
      <c r="C1490" s="8"/>
      <c r="D1490" s="8"/>
      <c r="E1490" s="8"/>
    </row>
    <row r="1491" spans="1:5" x14ac:dyDescent="0.25">
      <c r="A1491" s="1" t="s">
        <v>1481</v>
      </c>
      <c r="B1491" s="8">
        <v>45509</v>
      </c>
      <c r="C1491" s="8">
        <v>45315</v>
      </c>
      <c r="D1491" s="8">
        <v>45070</v>
      </c>
      <c r="E1491" s="8"/>
    </row>
    <row r="1492" spans="1:5" x14ac:dyDescent="0.25">
      <c r="A1492" s="1" t="s">
        <v>1482</v>
      </c>
      <c r="B1492" s="8"/>
      <c r="C1492" s="8"/>
      <c r="D1492" s="8"/>
      <c r="E1492" s="8"/>
    </row>
    <row r="1493" spans="1:5" x14ac:dyDescent="0.25">
      <c r="A1493" s="1" t="s">
        <v>1484</v>
      </c>
      <c r="B1493" s="8"/>
      <c r="C1493" s="8"/>
      <c r="D1493" s="8"/>
      <c r="E1493" s="8"/>
    </row>
    <row r="1494" spans="1:5" x14ac:dyDescent="0.25">
      <c r="A1494" s="1" t="s">
        <v>1483</v>
      </c>
      <c r="B1494" s="8">
        <v>46310</v>
      </c>
      <c r="C1494" s="8">
        <v>46142</v>
      </c>
      <c r="D1494" s="8">
        <v>45946</v>
      </c>
      <c r="E1494" s="8">
        <v>45723</v>
      </c>
    </row>
    <row r="1495" spans="1:5" x14ac:dyDescent="0.25">
      <c r="A1495" s="1" t="s">
        <v>1485</v>
      </c>
      <c r="B1495" s="8"/>
      <c r="C1495" s="8"/>
      <c r="D1495" s="8"/>
      <c r="E1495" s="8"/>
    </row>
    <row r="1496" spans="1:5" x14ac:dyDescent="0.25">
      <c r="A1496" s="1" t="s">
        <v>1486</v>
      </c>
      <c r="B1496" s="8">
        <v>45994</v>
      </c>
      <c r="C1496" s="8">
        <v>45859</v>
      </c>
      <c r="D1496" s="8">
        <v>45786</v>
      </c>
      <c r="E1496" s="8">
        <v>45611</v>
      </c>
    </row>
    <row r="1497" spans="1:5" x14ac:dyDescent="0.25">
      <c r="A1497" s="1" t="s">
        <v>1487</v>
      </c>
      <c r="B1497" s="8">
        <v>46206</v>
      </c>
      <c r="C1497" s="8">
        <v>46022</v>
      </c>
      <c r="D1497" s="8">
        <v>45854</v>
      </c>
      <c r="E1497" s="8">
        <v>45692</v>
      </c>
    </row>
    <row r="1498" spans="1:5" x14ac:dyDescent="0.25">
      <c r="A1498" s="1" t="s">
        <v>1488</v>
      </c>
      <c r="B1498" s="8">
        <v>46172</v>
      </c>
      <c r="C1498" s="8">
        <v>46000</v>
      </c>
      <c r="D1498" s="8">
        <v>45713</v>
      </c>
      <c r="E1498" s="8">
        <v>45531</v>
      </c>
    </row>
    <row r="1499" spans="1:5" x14ac:dyDescent="0.25">
      <c r="A1499" s="1" t="s">
        <v>1489</v>
      </c>
      <c r="B1499" s="8">
        <v>46087</v>
      </c>
      <c r="C1499" s="8">
        <v>45889</v>
      </c>
      <c r="D1499" s="8">
        <v>45693</v>
      </c>
      <c r="E1499" s="8">
        <v>45510</v>
      </c>
    </row>
    <row r="1500" spans="1:5" x14ac:dyDescent="0.25">
      <c r="A1500" s="1" t="s">
        <v>1490</v>
      </c>
      <c r="B1500" s="8">
        <v>46028</v>
      </c>
      <c r="C1500" s="8">
        <v>45885</v>
      </c>
      <c r="D1500" s="8">
        <v>45688</v>
      </c>
      <c r="E1500" s="8">
        <v>45513</v>
      </c>
    </row>
    <row r="1501" spans="1:5" x14ac:dyDescent="0.25">
      <c r="A1501" s="1" t="s">
        <v>1492</v>
      </c>
      <c r="B1501" s="8"/>
      <c r="C1501" s="8"/>
      <c r="D1501" s="8"/>
      <c r="E1501" s="8"/>
    </row>
    <row r="1502" spans="1:5" x14ac:dyDescent="0.25">
      <c r="A1502" s="1" t="s">
        <v>1491</v>
      </c>
      <c r="B1502" s="8">
        <v>45726</v>
      </c>
      <c r="C1502" s="8">
        <v>45290</v>
      </c>
      <c r="D1502" s="8">
        <v>45021</v>
      </c>
      <c r="E1502" s="8">
        <v>44960</v>
      </c>
    </row>
    <row r="1503" spans="1:5" x14ac:dyDescent="0.25">
      <c r="A1503" s="1" t="s">
        <v>1493</v>
      </c>
      <c r="B1503" s="8">
        <v>46272</v>
      </c>
      <c r="C1503" s="8">
        <v>46179</v>
      </c>
      <c r="D1503" s="8">
        <v>46045</v>
      </c>
      <c r="E1503" s="8">
        <v>45882</v>
      </c>
    </row>
    <row r="1504" spans="1:5" x14ac:dyDescent="0.25">
      <c r="A1504" s="1" t="s">
        <v>1494</v>
      </c>
      <c r="B1504" s="8">
        <v>46141</v>
      </c>
      <c r="C1504" s="8">
        <v>46045</v>
      </c>
      <c r="D1504" s="8">
        <v>45813</v>
      </c>
      <c r="E1504" s="8">
        <v>45625</v>
      </c>
    </row>
    <row r="1505" spans="1:5" x14ac:dyDescent="0.25">
      <c r="A1505" s="1" t="s">
        <v>1495</v>
      </c>
      <c r="B1505" s="8">
        <v>45105</v>
      </c>
      <c r="C1505" s="8"/>
      <c r="D1505" s="8"/>
      <c r="E1505" s="8"/>
    </row>
    <row r="1506" spans="1:5" x14ac:dyDescent="0.25">
      <c r="A1506" s="1" t="s">
        <v>1497</v>
      </c>
      <c r="B1506" s="8">
        <v>46272</v>
      </c>
      <c r="C1506" s="8">
        <v>46134</v>
      </c>
      <c r="D1506" s="8">
        <v>45875</v>
      </c>
      <c r="E1506" s="8">
        <v>45722</v>
      </c>
    </row>
    <row r="1507" spans="1:5" x14ac:dyDescent="0.25">
      <c r="A1507" s="1" t="s">
        <v>1496</v>
      </c>
      <c r="B1507" s="8">
        <v>44679</v>
      </c>
      <c r="C1507" s="8"/>
      <c r="D1507" s="8"/>
      <c r="E1507" s="8"/>
    </row>
    <row r="1508" spans="1:5" x14ac:dyDescent="0.25">
      <c r="A1508" s="1" t="s">
        <v>1498</v>
      </c>
      <c r="B1508" s="8">
        <v>44679</v>
      </c>
      <c r="C1508" s="8"/>
      <c r="D1508" s="8"/>
      <c r="E1508" s="8"/>
    </row>
    <row r="1509" spans="1:5" x14ac:dyDescent="0.25">
      <c r="A1509" s="1" t="s">
        <v>1499</v>
      </c>
      <c r="B1509" s="8"/>
      <c r="C1509" s="8"/>
      <c r="D1509" s="8"/>
      <c r="E1509" s="8"/>
    </row>
    <row r="1510" spans="1:5" x14ac:dyDescent="0.25">
      <c r="A1510" s="1" t="s">
        <v>1500</v>
      </c>
      <c r="B1510" s="8"/>
      <c r="C1510" s="8"/>
      <c r="D1510" s="8"/>
      <c r="E1510" s="8"/>
    </row>
    <row r="1511" spans="1:5" x14ac:dyDescent="0.25">
      <c r="A1511" s="1" t="s">
        <v>1502</v>
      </c>
      <c r="B1511" s="8"/>
      <c r="C1511" s="8"/>
      <c r="D1511" s="8"/>
      <c r="E1511" s="8"/>
    </row>
    <row r="1512" spans="1:5" x14ac:dyDescent="0.25">
      <c r="A1512" s="1" t="s">
        <v>1503</v>
      </c>
      <c r="B1512" s="8"/>
      <c r="C1512" s="8"/>
      <c r="D1512" s="8"/>
      <c r="E1512" s="8"/>
    </row>
    <row r="1513" spans="1:5" x14ac:dyDescent="0.25">
      <c r="A1513" s="1" t="s">
        <v>1501</v>
      </c>
      <c r="B1513" s="8">
        <v>46146</v>
      </c>
      <c r="C1513" s="8">
        <v>45964</v>
      </c>
      <c r="D1513" s="8">
        <v>45735</v>
      </c>
      <c r="E1513" s="8">
        <v>45588</v>
      </c>
    </row>
    <row r="1514" spans="1:5" x14ac:dyDescent="0.25">
      <c r="A1514" s="1" t="s">
        <v>1504</v>
      </c>
      <c r="B1514" s="8">
        <v>46274</v>
      </c>
      <c r="C1514" s="8">
        <v>46136</v>
      </c>
      <c r="D1514" s="8">
        <v>45931</v>
      </c>
      <c r="E1514" s="8">
        <v>45736</v>
      </c>
    </row>
    <row r="1515" spans="1:5" x14ac:dyDescent="0.25">
      <c r="A1515" s="1" t="s">
        <v>1505</v>
      </c>
      <c r="B1515" s="8">
        <v>46284</v>
      </c>
      <c r="C1515" s="8">
        <v>46136</v>
      </c>
      <c r="D1515" s="8">
        <v>45932</v>
      </c>
      <c r="E1515" s="8">
        <v>45757</v>
      </c>
    </row>
    <row r="1516" spans="1:5" x14ac:dyDescent="0.25">
      <c r="A1516" s="1" t="s">
        <v>1508</v>
      </c>
      <c r="B1516" s="8">
        <v>45012</v>
      </c>
      <c r="C1516" s="8">
        <v>44735</v>
      </c>
      <c r="D1516" s="8"/>
      <c r="E1516" s="8"/>
    </row>
    <row r="1517" spans="1:5" x14ac:dyDescent="0.25">
      <c r="A1517" s="1" t="s">
        <v>1507</v>
      </c>
      <c r="B1517" s="8">
        <v>46029</v>
      </c>
      <c r="C1517" s="8">
        <v>45846</v>
      </c>
      <c r="D1517" s="8">
        <v>45492</v>
      </c>
      <c r="E1517" s="8">
        <v>45236</v>
      </c>
    </row>
    <row r="1518" spans="1:5" x14ac:dyDescent="0.25">
      <c r="A1518" s="1" t="s">
        <v>1506</v>
      </c>
      <c r="B1518" s="8">
        <v>45012</v>
      </c>
      <c r="C1518" s="8">
        <v>44735</v>
      </c>
      <c r="D1518" s="8"/>
      <c r="E1518" s="8"/>
    </row>
    <row r="1519" spans="1:5" x14ac:dyDescent="0.25">
      <c r="A1519" s="1" t="s">
        <v>1510</v>
      </c>
      <c r="B1519" s="8">
        <v>46323</v>
      </c>
      <c r="C1519" s="8">
        <v>46164</v>
      </c>
      <c r="D1519" s="8">
        <v>45848</v>
      </c>
      <c r="E1519" s="8">
        <v>45661</v>
      </c>
    </row>
    <row r="1520" spans="1:5" x14ac:dyDescent="0.25">
      <c r="A1520" s="1" t="s">
        <v>1509</v>
      </c>
      <c r="B1520" s="8">
        <v>46132</v>
      </c>
      <c r="C1520" s="8">
        <v>45981</v>
      </c>
      <c r="D1520" s="8">
        <v>45901</v>
      </c>
      <c r="E1520" s="8">
        <v>45654</v>
      </c>
    </row>
    <row r="1521" spans="1:5" x14ac:dyDescent="0.25">
      <c r="A1521" s="1" t="s">
        <v>1511</v>
      </c>
      <c r="B1521" s="8"/>
      <c r="C1521" s="8"/>
      <c r="D1521" s="8"/>
      <c r="E1521" s="8"/>
    </row>
    <row r="1522" spans="1:5" x14ac:dyDescent="0.25">
      <c r="A1522" s="1" t="s">
        <v>1512</v>
      </c>
      <c r="B1522" s="8"/>
      <c r="C1522" s="8"/>
      <c r="D1522" s="8"/>
      <c r="E1522" s="8"/>
    </row>
    <row r="1523" spans="1:5" x14ac:dyDescent="0.25">
      <c r="A1523" s="1" t="s">
        <v>1513</v>
      </c>
      <c r="B1523" s="8">
        <v>44851</v>
      </c>
      <c r="C1523" s="8">
        <v>44671</v>
      </c>
      <c r="D1523" s="8"/>
      <c r="E1523" s="8"/>
    </row>
    <row r="1524" spans="1:5" x14ac:dyDescent="0.25">
      <c r="A1524" s="1" t="s">
        <v>1514</v>
      </c>
      <c r="B1524" s="8"/>
      <c r="C1524" s="8"/>
      <c r="D1524" s="8"/>
      <c r="E1524" s="8"/>
    </row>
    <row r="1525" spans="1:5" x14ac:dyDescent="0.25">
      <c r="A1525" s="1" t="s">
        <v>1515</v>
      </c>
      <c r="B1525" s="8">
        <v>46029</v>
      </c>
      <c r="C1525" s="8">
        <v>45846</v>
      </c>
      <c r="D1525" s="8">
        <v>45320</v>
      </c>
      <c r="E1525" s="8">
        <v>45233</v>
      </c>
    </row>
    <row r="1526" spans="1:5" x14ac:dyDescent="0.25">
      <c r="A1526" s="1" t="s">
        <v>1516</v>
      </c>
      <c r="B1526" s="8"/>
      <c r="C1526" s="8"/>
      <c r="D1526" s="8"/>
      <c r="E1526" s="8"/>
    </row>
    <row r="1527" spans="1:5" x14ac:dyDescent="0.25">
      <c r="A1527" s="1" t="s">
        <v>1517</v>
      </c>
      <c r="B1527" s="8"/>
      <c r="C1527" s="8"/>
      <c r="D1527" s="8"/>
      <c r="E1527" s="8"/>
    </row>
    <row r="1528" spans="1:5" x14ac:dyDescent="0.25">
      <c r="A1528" s="1" t="s">
        <v>1518</v>
      </c>
      <c r="B1528" s="8"/>
      <c r="C1528" s="8"/>
      <c r="D1528" s="8"/>
      <c r="E1528" s="8"/>
    </row>
    <row r="1529" spans="1:5" x14ac:dyDescent="0.25">
      <c r="A1529" s="1" t="s">
        <v>1519</v>
      </c>
      <c r="B1529" s="8">
        <v>45359</v>
      </c>
      <c r="C1529" s="8">
        <v>45199</v>
      </c>
      <c r="D1529" s="8">
        <v>45016</v>
      </c>
      <c r="E1529" s="8">
        <v>44797</v>
      </c>
    </row>
    <row r="1530" spans="1:5" x14ac:dyDescent="0.25">
      <c r="A1530" s="1" t="s">
        <v>1520</v>
      </c>
      <c r="B1530" s="8">
        <v>45721</v>
      </c>
      <c r="C1530" s="8">
        <v>45443</v>
      </c>
      <c r="D1530" s="8"/>
      <c r="E1530" s="8"/>
    </row>
    <row r="1531" spans="1:5" x14ac:dyDescent="0.25">
      <c r="A1531" s="1" t="s">
        <v>1521</v>
      </c>
      <c r="B1531" s="8"/>
      <c r="C1531" s="8"/>
      <c r="D1531" s="8"/>
      <c r="E1531" s="8"/>
    </row>
    <row r="1532" spans="1:5" x14ac:dyDescent="0.25">
      <c r="A1532" s="1" t="s">
        <v>1522</v>
      </c>
      <c r="B1532" s="8"/>
      <c r="C1532" s="8"/>
      <c r="D1532" s="8"/>
      <c r="E1532" s="8"/>
    </row>
    <row r="1533" spans="1:5" x14ac:dyDescent="0.25">
      <c r="A1533" s="1" t="s">
        <v>1523</v>
      </c>
      <c r="B1533" s="8">
        <v>46324</v>
      </c>
      <c r="C1533" s="8">
        <v>46169</v>
      </c>
      <c r="D1533" s="8">
        <v>45834</v>
      </c>
      <c r="E1533" s="8">
        <v>45661</v>
      </c>
    </row>
    <row r="1534" spans="1:5" x14ac:dyDescent="0.25">
      <c r="A1534" s="1" t="s">
        <v>1524</v>
      </c>
      <c r="B1534" s="8"/>
      <c r="C1534" s="8"/>
      <c r="D1534" s="8"/>
      <c r="E1534" s="8"/>
    </row>
    <row r="1535" spans="1:5" x14ac:dyDescent="0.25">
      <c r="A1535" s="1" t="s">
        <v>1525</v>
      </c>
      <c r="B1535" s="8"/>
      <c r="C1535" s="8"/>
      <c r="D1535" s="8"/>
      <c r="E1535" s="8"/>
    </row>
    <row r="1536" spans="1:5" x14ac:dyDescent="0.25">
      <c r="A1536" s="1" t="s">
        <v>1527</v>
      </c>
      <c r="B1536" s="8"/>
      <c r="C1536" s="8"/>
      <c r="D1536" s="8"/>
      <c r="E1536" s="8"/>
    </row>
    <row r="1537" spans="1:5" x14ac:dyDescent="0.25">
      <c r="A1537" s="1" t="s">
        <v>1526</v>
      </c>
      <c r="B1537" s="8"/>
      <c r="C1537" s="8"/>
      <c r="D1537" s="8"/>
      <c r="E1537" s="8"/>
    </row>
    <row r="1538" spans="1:5" x14ac:dyDescent="0.25">
      <c r="A1538" s="1" t="s">
        <v>1528</v>
      </c>
      <c r="B1538" s="8"/>
      <c r="C1538" s="8"/>
      <c r="D1538" s="8"/>
      <c r="E1538" s="8"/>
    </row>
    <row r="1539" spans="1:5" x14ac:dyDescent="0.25">
      <c r="A1539" s="1" t="s">
        <v>1529</v>
      </c>
      <c r="B1539" s="8">
        <v>46057</v>
      </c>
      <c r="C1539" s="8">
        <v>45933</v>
      </c>
      <c r="D1539" s="8">
        <v>45755</v>
      </c>
      <c r="E1539" s="8">
        <v>45555</v>
      </c>
    </row>
    <row r="1540" spans="1:5" x14ac:dyDescent="0.25">
      <c r="A1540" s="1" t="s">
        <v>1531</v>
      </c>
      <c r="B1540" s="8">
        <v>46101</v>
      </c>
      <c r="C1540" s="8">
        <v>45883</v>
      </c>
      <c r="D1540" s="8">
        <v>45695</v>
      </c>
      <c r="E1540" s="8">
        <v>45540</v>
      </c>
    </row>
    <row r="1541" spans="1:5" x14ac:dyDescent="0.25">
      <c r="A1541" s="1" t="s">
        <v>1532</v>
      </c>
      <c r="B1541" s="8"/>
      <c r="C1541" s="8"/>
      <c r="D1541" s="8"/>
      <c r="E1541" s="8"/>
    </row>
    <row r="1542" spans="1:5" x14ac:dyDescent="0.25">
      <c r="A1542" s="1" t="s">
        <v>1530</v>
      </c>
      <c r="B1542" s="8"/>
      <c r="C1542" s="8"/>
      <c r="D1542" s="8"/>
      <c r="E1542" s="8"/>
    </row>
    <row r="1543" spans="1:5" x14ac:dyDescent="0.25">
      <c r="A1543" s="1" t="s">
        <v>1533</v>
      </c>
      <c r="B1543" s="8">
        <v>46204</v>
      </c>
      <c r="C1543" s="8">
        <v>46163</v>
      </c>
      <c r="D1543" s="8">
        <v>46093</v>
      </c>
      <c r="E1543" s="8">
        <v>46093</v>
      </c>
    </row>
    <row r="1544" spans="1:5" x14ac:dyDescent="0.25">
      <c r="A1544" s="1" t="s">
        <v>1535</v>
      </c>
      <c r="B1544" s="8">
        <v>46325</v>
      </c>
      <c r="C1544" s="8">
        <v>46169</v>
      </c>
      <c r="D1544" s="8">
        <v>45835</v>
      </c>
      <c r="E1544" s="8">
        <v>45661</v>
      </c>
    </row>
    <row r="1545" spans="1:5" x14ac:dyDescent="0.25">
      <c r="A1545" s="1" t="s">
        <v>1534</v>
      </c>
      <c r="B1545" s="8">
        <v>46324</v>
      </c>
      <c r="C1545" s="8">
        <v>46169</v>
      </c>
      <c r="D1545" s="8">
        <v>45835</v>
      </c>
      <c r="E1545" s="8">
        <v>45661</v>
      </c>
    </row>
    <row r="1546" spans="1:5" x14ac:dyDescent="0.25">
      <c r="A1546" s="1" t="s">
        <v>1537</v>
      </c>
      <c r="B1546" s="8"/>
      <c r="C1546" s="8"/>
      <c r="D1546" s="8"/>
      <c r="E1546" s="8"/>
    </row>
    <row r="1547" spans="1:5" x14ac:dyDescent="0.25">
      <c r="A1547" s="1" t="s">
        <v>1536</v>
      </c>
      <c r="B1547" s="8">
        <v>46025</v>
      </c>
      <c r="C1547" s="8">
        <v>45908</v>
      </c>
      <c r="D1547" s="8">
        <v>45702</v>
      </c>
      <c r="E1547" s="8">
        <v>45492</v>
      </c>
    </row>
    <row r="1548" spans="1:5" x14ac:dyDescent="0.25">
      <c r="A1548" s="1" t="s">
        <v>1538</v>
      </c>
      <c r="B1548" s="8">
        <v>46025</v>
      </c>
      <c r="C1548" s="8">
        <v>45908</v>
      </c>
      <c r="D1548" s="8">
        <v>45702</v>
      </c>
      <c r="E1548" s="8">
        <v>45492</v>
      </c>
    </row>
    <row r="1549" spans="1:5" x14ac:dyDescent="0.25">
      <c r="A1549" s="1" t="s">
        <v>1539</v>
      </c>
      <c r="B1549" s="8"/>
      <c r="C1549" s="8"/>
      <c r="D1549" s="8"/>
      <c r="E1549" s="8"/>
    </row>
    <row r="1550" spans="1:5" x14ac:dyDescent="0.25">
      <c r="A1550" s="1" t="s">
        <v>1540</v>
      </c>
      <c r="B1550" s="8"/>
      <c r="C1550" s="8"/>
      <c r="D1550" s="8"/>
      <c r="E1550" s="8"/>
    </row>
    <row r="1551" spans="1:5" x14ac:dyDescent="0.25">
      <c r="A1551" s="1" t="s">
        <v>1541</v>
      </c>
      <c r="B1551" s="8">
        <v>46270</v>
      </c>
      <c r="C1551" s="8">
        <v>46104</v>
      </c>
      <c r="D1551" s="8">
        <v>45996</v>
      </c>
      <c r="E1551" s="8">
        <v>45902</v>
      </c>
    </row>
    <row r="1552" spans="1:5" x14ac:dyDescent="0.25">
      <c r="A1552" s="1" t="s">
        <v>1542</v>
      </c>
      <c r="B1552" s="8">
        <v>46107</v>
      </c>
      <c r="C1552" s="8">
        <v>45945</v>
      </c>
      <c r="D1552" s="8">
        <v>45748</v>
      </c>
      <c r="E1552" s="8">
        <v>45562</v>
      </c>
    </row>
    <row r="1553" spans="1:5" x14ac:dyDescent="0.25">
      <c r="A1553" s="1" t="s">
        <v>1543</v>
      </c>
      <c r="B1553" s="8">
        <v>46263</v>
      </c>
      <c r="C1553" s="8">
        <v>46163</v>
      </c>
      <c r="D1553" s="8">
        <v>46093</v>
      </c>
      <c r="E1553" s="8">
        <v>45870</v>
      </c>
    </row>
    <row r="1554" spans="1:5" x14ac:dyDescent="0.25">
      <c r="A1554" s="1" t="s">
        <v>1544</v>
      </c>
      <c r="B1554" s="8">
        <v>46290</v>
      </c>
      <c r="C1554" s="8">
        <v>46200</v>
      </c>
      <c r="D1554" s="8">
        <v>45920</v>
      </c>
      <c r="E1554" s="8">
        <v>45920</v>
      </c>
    </row>
    <row r="1555" spans="1:5" x14ac:dyDescent="0.25">
      <c r="A1555" s="1" t="s">
        <v>1546</v>
      </c>
      <c r="B1555" s="8">
        <v>46289</v>
      </c>
      <c r="C1555" s="8">
        <v>46203</v>
      </c>
      <c r="D1555" s="8">
        <v>46163</v>
      </c>
      <c r="E1555" s="8">
        <v>46093</v>
      </c>
    </row>
    <row r="1556" spans="1:5" x14ac:dyDescent="0.25">
      <c r="A1556" s="1" t="s">
        <v>1545</v>
      </c>
      <c r="B1556" s="8">
        <v>46289</v>
      </c>
      <c r="C1556" s="8">
        <v>46163</v>
      </c>
      <c r="D1556" s="8">
        <v>46093</v>
      </c>
      <c r="E1556" s="8">
        <v>45870</v>
      </c>
    </row>
    <row r="1557" spans="1:5" x14ac:dyDescent="0.25">
      <c r="A1557" s="1" t="s">
        <v>1547</v>
      </c>
      <c r="B1557" s="8">
        <v>46290</v>
      </c>
      <c r="C1557" s="8">
        <v>46200</v>
      </c>
      <c r="D1557" s="8">
        <v>45920</v>
      </c>
      <c r="E1557" s="8">
        <v>45721</v>
      </c>
    </row>
    <row r="1558" spans="1:5" x14ac:dyDescent="0.25">
      <c r="A1558" s="1" t="s">
        <v>1548</v>
      </c>
      <c r="B1558" s="8"/>
      <c r="C1558" s="8"/>
      <c r="D1558" s="8"/>
      <c r="E1558" s="8"/>
    </row>
    <row r="1559" spans="1:5" x14ac:dyDescent="0.25">
      <c r="A1559" s="1" t="s">
        <v>1549</v>
      </c>
      <c r="B1559" s="8">
        <v>45946</v>
      </c>
      <c r="C1559" s="8">
        <v>45856</v>
      </c>
      <c r="D1559" s="8">
        <v>45721</v>
      </c>
      <c r="E1559" s="8">
        <v>45670</v>
      </c>
    </row>
    <row r="1560" spans="1:5" x14ac:dyDescent="0.25">
      <c r="A1560" s="1" t="s">
        <v>1550</v>
      </c>
      <c r="B1560" s="8">
        <v>46218</v>
      </c>
      <c r="C1560" s="8">
        <v>46056</v>
      </c>
      <c r="D1560" s="8">
        <v>46014</v>
      </c>
      <c r="E1560" s="8">
        <v>45957</v>
      </c>
    </row>
    <row r="1561" spans="1:5" x14ac:dyDescent="0.25">
      <c r="A1561" s="1" t="s">
        <v>1551</v>
      </c>
      <c r="B1561" s="8">
        <v>46226</v>
      </c>
      <c r="C1561" s="8">
        <v>46038</v>
      </c>
      <c r="D1561" s="8">
        <v>45820</v>
      </c>
      <c r="E1561" s="8">
        <v>45670</v>
      </c>
    </row>
    <row r="1562" spans="1:5" x14ac:dyDescent="0.25">
      <c r="A1562" s="1" t="s">
        <v>1552</v>
      </c>
      <c r="B1562" s="8">
        <v>46200</v>
      </c>
      <c r="C1562" s="8">
        <v>46060</v>
      </c>
      <c r="D1562" s="8">
        <v>45856</v>
      </c>
      <c r="E1562" s="8">
        <v>45674</v>
      </c>
    </row>
    <row r="1563" spans="1:5" x14ac:dyDescent="0.25">
      <c r="A1563" s="1" t="s">
        <v>1553</v>
      </c>
      <c r="B1563" s="8">
        <v>46239</v>
      </c>
      <c r="C1563" s="8">
        <v>46080</v>
      </c>
      <c r="D1563" s="8">
        <v>45902</v>
      </c>
      <c r="E1563" s="8">
        <v>45689</v>
      </c>
    </row>
    <row r="1564" spans="1:5" x14ac:dyDescent="0.25">
      <c r="A1564" s="1" t="s">
        <v>1555</v>
      </c>
      <c r="B1564" s="8">
        <v>46150</v>
      </c>
      <c r="C1564" s="8">
        <v>45994</v>
      </c>
      <c r="D1564" s="8">
        <v>45806</v>
      </c>
      <c r="E1564" s="8">
        <v>45637</v>
      </c>
    </row>
    <row r="1565" spans="1:5" x14ac:dyDescent="0.25">
      <c r="A1565" s="1" t="s">
        <v>1554</v>
      </c>
      <c r="B1565" s="8">
        <v>46161</v>
      </c>
      <c r="C1565" s="8">
        <v>45983</v>
      </c>
      <c r="D1565" s="8">
        <v>45661</v>
      </c>
      <c r="E1565" s="8">
        <v>45430</v>
      </c>
    </row>
    <row r="1566" spans="1:5" x14ac:dyDescent="0.25">
      <c r="A1566" s="1" t="s">
        <v>1556</v>
      </c>
      <c r="B1566" s="8"/>
      <c r="C1566" s="8"/>
      <c r="D1566" s="8"/>
      <c r="E1566" s="8"/>
    </row>
    <row r="1567" spans="1:5" x14ac:dyDescent="0.25">
      <c r="A1567" s="1" t="s">
        <v>1557</v>
      </c>
      <c r="B1567" s="8"/>
      <c r="C1567" s="8"/>
      <c r="D1567" s="8"/>
      <c r="E1567" s="8"/>
    </row>
    <row r="1568" spans="1:5" x14ac:dyDescent="0.25">
      <c r="A1568" s="1" t="s">
        <v>1558</v>
      </c>
      <c r="B1568" s="8"/>
      <c r="C1568" s="8"/>
      <c r="D1568" s="8"/>
      <c r="E1568" s="8"/>
    </row>
    <row r="1569" spans="1:5" x14ac:dyDescent="0.25">
      <c r="A1569" s="1" t="s">
        <v>1559</v>
      </c>
      <c r="B1569" s="8"/>
      <c r="C1569" s="8"/>
      <c r="D1569" s="8"/>
      <c r="E1569" s="8"/>
    </row>
    <row r="1570" spans="1:5" x14ac:dyDescent="0.25">
      <c r="A1570" s="1" t="s">
        <v>1561</v>
      </c>
      <c r="B1570" s="8"/>
      <c r="C1570" s="8"/>
      <c r="D1570" s="8"/>
      <c r="E1570" s="8"/>
    </row>
    <row r="1571" spans="1:5" x14ac:dyDescent="0.25">
      <c r="A1571" s="1" t="s">
        <v>1560</v>
      </c>
      <c r="B1571" s="8"/>
      <c r="C1571" s="8"/>
      <c r="D1571" s="8"/>
      <c r="E1571" s="8"/>
    </row>
    <row r="1572" spans="1:5" x14ac:dyDescent="0.25">
      <c r="A1572" s="1" t="s">
        <v>1562</v>
      </c>
      <c r="B1572" s="8"/>
      <c r="C1572" s="8"/>
      <c r="D1572" s="8"/>
      <c r="E1572" s="8"/>
    </row>
    <row r="1573" spans="1:5" x14ac:dyDescent="0.25">
      <c r="A1573" s="1" t="s">
        <v>1563</v>
      </c>
      <c r="B1573" s="8">
        <v>44679</v>
      </c>
      <c r="C1573" s="8"/>
      <c r="D1573" s="8"/>
      <c r="E1573" s="8"/>
    </row>
    <row r="1574" spans="1:5" x14ac:dyDescent="0.25">
      <c r="A1574" s="1" t="s">
        <v>1564</v>
      </c>
      <c r="B1574" s="8">
        <v>45562</v>
      </c>
      <c r="C1574" s="8">
        <v>45415</v>
      </c>
      <c r="D1574" s="8">
        <v>45184</v>
      </c>
      <c r="E1574" s="8">
        <v>45036</v>
      </c>
    </row>
    <row r="1575" spans="1:5" x14ac:dyDescent="0.25">
      <c r="A1575" s="1" t="s">
        <v>1565</v>
      </c>
      <c r="B1575" s="8"/>
      <c r="C1575" s="8"/>
      <c r="D1575" s="8"/>
      <c r="E1575" s="8"/>
    </row>
    <row r="1576" spans="1:5" x14ac:dyDescent="0.25">
      <c r="A1576" s="1" t="s">
        <v>1566</v>
      </c>
      <c r="B1576" s="8">
        <v>46284</v>
      </c>
      <c r="C1576" s="8">
        <v>46135</v>
      </c>
      <c r="D1576" s="8">
        <v>45512</v>
      </c>
      <c r="E1576" s="8">
        <v>45359</v>
      </c>
    </row>
    <row r="1577" spans="1:5" x14ac:dyDescent="0.25">
      <c r="A1577" s="1" t="s">
        <v>1567</v>
      </c>
      <c r="B1577" s="8">
        <v>46209</v>
      </c>
      <c r="C1577" s="8">
        <v>46178</v>
      </c>
      <c r="D1577" s="8">
        <v>46125</v>
      </c>
      <c r="E1577" s="8">
        <v>45978</v>
      </c>
    </row>
    <row r="1578" spans="1:5" x14ac:dyDescent="0.25">
      <c r="A1578" s="1" t="s">
        <v>1568</v>
      </c>
      <c r="B1578" s="8">
        <v>46185</v>
      </c>
      <c r="C1578" s="8">
        <v>46007</v>
      </c>
      <c r="D1578" s="8">
        <v>45817</v>
      </c>
      <c r="E1578" s="8">
        <v>45673</v>
      </c>
    </row>
    <row r="1579" spans="1:5" x14ac:dyDescent="0.25">
      <c r="A1579" s="1" t="s">
        <v>1569</v>
      </c>
      <c r="B1579" s="8">
        <v>46225</v>
      </c>
      <c r="C1579" s="8">
        <v>46162</v>
      </c>
      <c r="D1579" s="8">
        <v>45966</v>
      </c>
      <c r="E1579" s="8">
        <v>45629</v>
      </c>
    </row>
    <row r="1580" spans="1:5" x14ac:dyDescent="0.25">
      <c r="A1580" s="1" t="s">
        <v>1570</v>
      </c>
      <c r="B1580" s="8">
        <v>46210</v>
      </c>
      <c r="C1580" s="8">
        <v>46101</v>
      </c>
      <c r="D1580" s="8">
        <v>45990</v>
      </c>
      <c r="E1580" s="8">
        <v>45811</v>
      </c>
    </row>
    <row r="1581" spans="1:5" x14ac:dyDescent="0.25">
      <c r="A1581" s="1" t="s">
        <v>1572</v>
      </c>
      <c r="B1581" s="8"/>
      <c r="C1581" s="8"/>
      <c r="D1581" s="8"/>
      <c r="E1581" s="8"/>
    </row>
    <row r="1582" spans="1:5" x14ac:dyDescent="0.25">
      <c r="A1582" s="1" t="s">
        <v>1571</v>
      </c>
      <c r="B1582" s="8"/>
      <c r="C1582" s="8"/>
      <c r="D1582" s="8"/>
      <c r="E1582" s="8"/>
    </row>
    <row r="1583" spans="1:5" x14ac:dyDescent="0.25">
      <c r="A1583" s="1" t="s">
        <v>1573</v>
      </c>
      <c r="B1583" s="8">
        <v>46247</v>
      </c>
      <c r="C1583" s="8">
        <v>45957</v>
      </c>
      <c r="D1583" s="8">
        <v>45785</v>
      </c>
      <c r="E1583" s="8">
        <v>45714</v>
      </c>
    </row>
    <row r="1584" spans="1:5" x14ac:dyDescent="0.25">
      <c r="A1584" s="1" t="s">
        <v>1574</v>
      </c>
      <c r="B1584" s="8">
        <v>46321</v>
      </c>
      <c r="C1584" s="8">
        <v>46197</v>
      </c>
      <c r="D1584" s="8">
        <v>46002</v>
      </c>
      <c r="E1584" s="8">
        <v>45736</v>
      </c>
    </row>
    <row r="1585" spans="1:5" x14ac:dyDescent="0.25">
      <c r="A1585" s="1" t="s">
        <v>1575</v>
      </c>
      <c r="B1585" s="8"/>
      <c r="C1585" s="8"/>
      <c r="D1585" s="8"/>
      <c r="E1585" s="8"/>
    </row>
    <row r="1586" spans="1:5" x14ac:dyDescent="0.25">
      <c r="A1586" s="1" t="s">
        <v>1576</v>
      </c>
      <c r="B1586" s="8">
        <v>46154</v>
      </c>
      <c r="C1586" s="8"/>
      <c r="D1586" s="8"/>
      <c r="E1586" s="8"/>
    </row>
    <row r="1587" spans="1:5" x14ac:dyDescent="0.25">
      <c r="A1587" s="1" t="s">
        <v>1578</v>
      </c>
      <c r="B1587" s="8">
        <v>46295</v>
      </c>
      <c r="C1587" s="8"/>
      <c r="D1587" s="8"/>
      <c r="E1587" s="8"/>
    </row>
    <row r="1588" spans="1:5" x14ac:dyDescent="0.25">
      <c r="A1588" s="1" t="s">
        <v>1577</v>
      </c>
      <c r="B1588" s="8">
        <v>45937</v>
      </c>
      <c r="C1588" s="8">
        <v>45741</v>
      </c>
      <c r="D1588" s="8">
        <v>45479</v>
      </c>
      <c r="E1588" s="8">
        <v>45280</v>
      </c>
    </row>
    <row r="1589" spans="1:5" x14ac:dyDescent="0.25">
      <c r="A1589" s="1" t="s">
        <v>1579</v>
      </c>
      <c r="B1589" s="8">
        <v>46153</v>
      </c>
      <c r="C1589" s="8">
        <v>45854</v>
      </c>
      <c r="D1589" s="8">
        <v>45793</v>
      </c>
      <c r="E1589" s="8">
        <v>45687</v>
      </c>
    </row>
    <row r="1590" spans="1:5" x14ac:dyDescent="0.25">
      <c r="A1590" s="1" t="s">
        <v>1581</v>
      </c>
      <c r="B1590" s="8">
        <v>46237</v>
      </c>
      <c r="C1590" s="8">
        <v>46169</v>
      </c>
      <c r="D1590" s="8">
        <v>46003</v>
      </c>
      <c r="E1590" s="8">
        <v>45829</v>
      </c>
    </row>
    <row r="1591" spans="1:5" x14ac:dyDescent="0.25">
      <c r="A1591" s="1" t="s">
        <v>1580</v>
      </c>
      <c r="B1591" s="8">
        <v>46161</v>
      </c>
      <c r="C1591" s="8">
        <v>45999</v>
      </c>
      <c r="D1591" s="8">
        <v>45829</v>
      </c>
      <c r="E1591" s="8">
        <v>45633</v>
      </c>
    </row>
    <row r="1592" spans="1:5" x14ac:dyDescent="0.25">
      <c r="A1592" s="1" t="s">
        <v>1582</v>
      </c>
      <c r="B1592" s="8">
        <v>46156</v>
      </c>
      <c r="C1592" s="8">
        <v>45854</v>
      </c>
      <c r="D1592" s="8">
        <v>45687</v>
      </c>
      <c r="E1592" s="8">
        <v>45630</v>
      </c>
    </row>
    <row r="1593" spans="1:5" x14ac:dyDescent="0.25">
      <c r="A1593" s="1" t="s">
        <v>1583</v>
      </c>
      <c r="B1593" s="8">
        <v>46156</v>
      </c>
      <c r="C1593" s="8">
        <v>45467</v>
      </c>
      <c r="D1593" s="8">
        <v>45255</v>
      </c>
      <c r="E1593" s="8">
        <v>45141</v>
      </c>
    </row>
    <row r="1594" spans="1:5" x14ac:dyDescent="0.25">
      <c r="A1594" s="1" t="s">
        <v>1585</v>
      </c>
      <c r="B1594" s="8">
        <v>46156</v>
      </c>
      <c r="C1594" s="8">
        <v>46002</v>
      </c>
      <c r="D1594" s="8">
        <v>45785</v>
      </c>
      <c r="E1594" s="8">
        <v>45612</v>
      </c>
    </row>
    <row r="1595" spans="1:5" x14ac:dyDescent="0.25">
      <c r="A1595" s="1" t="s">
        <v>1584</v>
      </c>
      <c r="B1595" s="8">
        <v>46268</v>
      </c>
      <c r="C1595" s="8">
        <v>46104</v>
      </c>
      <c r="D1595" s="8">
        <v>45916</v>
      </c>
      <c r="E1595" s="8">
        <v>45744</v>
      </c>
    </row>
    <row r="1596" spans="1:5" x14ac:dyDescent="0.25">
      <c r="A1596" s="1" t="s">
        <v>1586</v>
      </c>
      <c r="B1596" s="8">
        <v>46193</v>
      </c>
      <c r="C1596" s="8">
        <v>46090</v>
      </c>
      <c r="D1596" s="8">
        <v>45786</v>
      </c>
      <c r="E1596" s="8">
        <v>45555</v>
      </c>
    </row>
    <row r="1597" spans="1:5" x14ac:dyDescent="0.25">
      <c r="A1597" s="1" t="s">
        <v>1587</v>
      </c>
      <c r="B1597" s="8">
        <v>46266</v>
      </c>
      <c r="C1597" s="8">
        <v>46091</v>
      </c>
      <c r="D1597" s="8">
        <v>45919</v>
      </c>
      <c r="E1597" s="8">
        <v>45734</v>
      </c>
    </row>
    <row r="1598" spans="1:5" x14ac:dyDescent="0.25">
      <c r="A1598" s="1" t="s">
        <v>1588</v>
      </c>
      <c r="B1598" s="8">
        <v>46135</v>
      </c>
      <c r="C1598" s="8">
        <v>45979</v>
      </c>
      <c r="D1598" s="8">
        <v>45819</v>
      </c>
      <c r="E1598" s="8">
        <v>45663</v>
      </c>
    </row>
    <row r="1599" spans="1:5" x14ac:dyDescent="0.25">
      <c r="A1599" s="1" t="s">
        <v>1591</v>
      </c>
      <c r="B1599" s="8"/>
      <c r="C1599" s="8"/>
      <c r="D1599" s="8"/>
      <c r="E1599" s="8"/>
    </row>
    <row r="1600" spans="1:5" x14ac:dyDescent="0.25">
      <c r="A1600" s="1" t="s">
        <v>1590</v>
      </c>
      <c r="B1600" s="8">
        <v>46224</v>
      </c>
      <c r="C1600" s="8">
        <v>46029</v>
      </c>
      <c r="D1600" s="8">
        <v>45748</v>
      </c>
      <c r="E1600" s="8">
        <v>45465</v>
      </c>
    </row>
    <row r="1601" spans="1:5" x14ac:dyDescent="0.25">
      <c r="A1601" s="1" t="s">
        <v>1589</v>
      </c>
      <c r="B1601" s="8">
        <v>46206</v>
      </c>
      <c r="C1601" s="8">
        <v>46169</v>
      </c>
      <c r="D1601" s="8">
        <v>45853</v>
      </c>
      <c r="E1601" s="8">
        <v>45682</v>
      </c>
    </row>
    <row r="1602" spans="1:5" x14ac:dyDescent="0.25">
      <c r="A1602" s="1" t="s">
        <v>1595</v>
      </c>
      <c r="B1602" s="8">
        <v>46255</v>
      </c>
      <c r="C1602" s="8">
        <v>46063</v>
      </c>
      <c r="D1602" s="8">
        <v>45873</v>
      </c>
      <c r="E1602" s="8">
        <v>45716</v>
      </c>
    </row>
    <row r="1603" spans="1:5" x14ac:dyDescent="0.25">
      <c r="A1603" s="1" t="s">
        <v>1594</v>
      </c>
      <c r="B1603" s="8">
        <v>46199</v>
      </c>
      <c r="C1603" s="8">
        <v>45999</v>
      </c>
      <c r="D1603" s="8">
        <v>45832</v>
      </c>
      <c r="E1603" s="8">
        <v>45666</v>
      </c>
    </row>
    <row r="1604" spans="1:5" x14ac:dyDescent="0.25">
      <c r="A1604" s="1" t="s">
        <v>1592</v>
      </c>
      <c r="B1604" s="8"/>
      <c r="C1604" s="8"/>
      <c r="D1604" s="8"/>
      <c r="E1604" s="8"/>
    </row>
    <row r="1605" spans="1:5" x14ac:dyDescent="0.25">
      <c r="A1605" s="1" t="s">
        <v>1593</v>
      </c>
      <c r="B1605" s="8">
        <v>46200</v>
      </c>
      <c r="C1605" s="8">
        <v>45993</v>
      </c>
      <c r="D1605" s="8">
        <v>45831</v>
      </c>
      <c r="E1605" s="8">
        <v>45335</v>
      </c>
    </row>
    <row r="1606" spans="1:5" x14ac:dyDescent="0.25">
      <c r="A1606" s="1" t="s">
        <v>1596</v>
      </c>
      <c r="B1606" s="8">
        <v>46206</v>
      </c>
      <c r="C1606" s="8">
        <v>45986</v>
      </c>
      <c r="D1606" s="8">
        <v>45874</v>
      </c>
      <c r="E1606" s="8">
        <v>45632</v>
      </c>
    </row>
    <row r="1607" spans="1:5" x14ac:dyDescent="0.25">
      <c r="A1607" s="1" t="s">
        <v>1597</v>
      </c>
      <c r="B1607" s="8">
        <v>46284</v>
      </c>
      <c r="C1607" s="8">
        <v>46137</v>
      </c>
      <c r="D1607" s="8">
        <v>45920</v>
      </c>
      <c r="E1607" s="8">
        <v>45675</v>
      </c>
    </row>
    <row r="1608" spans="1:5" x14ac:dyDescent="0.25">
      <c r="A1608" s="1" t="s">
        <v>1598</v>
      </c>
      <c r="B1608" s="8">
        <v>46148</v>
      </c>
      <c r="C1608" s="8">
        <v>45995</v>
      </c>
      <c r="D1608" s="8">
        <v>45799</v>
      </c>
      <c r="E1608" s="8">
        <v>45621</v>
      </c>
    </row>
    <row r="1609" spans="1:5" x14ac:dyDescent="0.25">
      <c r="A1609" s="1" t="s">
        <v>1599</v>
      </c>
      <c r="B1609" s="8"/>
      <c r="C1609" s="8"/>
      <c r="D1609" s="8"/>
      <c r="E1609" s="8"/>
    </row>
    <row r="1610" spans="1:5" x14ac:dyDescent="0.25">
      <c r="A1610" s="1" t="s">
        <v>1600</v>
      </c>
      <c r="B1610" s="8">
        <v>46176</v>
      </c>
      <c r="C1610" s="8">
        <v>46013</v>
      </c>
      <c r="D1610" s="8">
        <v>45814</v>
      </c>
      <c r="E1610" s="8">
        <v>45639</v>
      </c>
    </row>
    <row r="1611" spans="1:5" x14ac:dyDescent="0.25">
      <c r="A1611" s="1" t="s">
        <v>1601</v>
      </c>
      <c r="B1611" s="8"/>
      <c r="C1611" s="8"/>
      <c r="D1611" s="8"/>
      <c r="E1611" s="8"/>
    </row>
    <row r="1612" spans="1:5" x14ac:dyDescent="0.25">
      <c r="A1612" s="1" t="s">
        <v>1602</v>
      </c>
      <c r="B1612" s="8">
        <v>46205</v>
      </c>
      <c r="C1612" s="8">
        <v>46030</v>
      </c>
      <c r="D1612" s="8">
        <v>45846</v>
      </c>
      <c r="E1612" s="8">
        <v>45660</v>
      </c>
    </row>
    <row r="1613" spans="1:5" x14ac:dyDescent="0.25">
      <c r="A1613" s="1" t="s">
        <v>1603</v>
      </c>
      <c r="B1613" s="8">
        <v>46308</v>
      </c>
      <c r="C1613" s="8">
        <v>46140</v>
      </c>
      <c r="D1613" s="8">
        <v>45904</v>
      </c>
      <c r="E1613" s="8">
        <v>45775</v>
      </c>
    </row>
    <row r="1614" spans="1:5" x14ac:dyDescent="0.25">
      <c r="A1614" s="1" t="s">
        <v>1604</v>
      </c>
      <c r="B1614" s="8">
        <v>44866</v>
      </c>
      <c r="C1614" s="8">
        <v>44741</v>
      </c>
      <c r="D1614" s="8"/>
      <c r="E1614" s="8"/>
    </row>
    <row r="1615" spans="1:5" x14ac:dyDescent="0.25">
      <c r="A1615" s="1" t="s">
        <v>1605</v>
      </c>
      <c r="B1615" s="8"/>
      <c r="C1615" s="8"/>
      <c r="D1615" s="8"/>
      <c r="E1615" s="8"/>
    </row>
    <row r="1616" spans="1:5" x14ac:dyDescent="0.25">
      <c r="A1616" s="1" t="s">
        <v>1606</v>
      </c>
      <c r="B1616" s="8"/>
      <c r="C1616" s="8"/>
      <c r="D1616" s="8"/>
      <c r="E1616" s="8"/>
    </row>
    <row r="1617" spans="1:5" x14ac:dyDescent="0.25">
      <c r="A1617" s="1" t="s">
        <v>1607</v>
      </c>
      <c r="B1617" s="8">
        <v>46078</v>
      </c>
      <c r="C1617" s="8">
        <v>45897</v>
      </c>
      <c r="D1617" s="8">
        <v>45738</v>
      </c>
      <c r="E1617" s="8">
        <v>45517</v>
      </c>
    </row>
    <row r="1618" spans="1:5" x14ac:dyDescent="0.25">
      <c r="A1618" s="1" t="s">
        <v>1609</v>
      </c>
      <c r="B1618" s="8"/>
      <c r="C1618" s="8"/>
      <c r="D1618" s="8"/>
      <c r="E1618" s="8"/>
    </row>
    <row r="1619" spans="1:5" x14ac:dyDescent="0.25">
      <c r="A1619" s="1" t="s">
        <v>1608</v>
      </c>
      <c r="B1619" s="8">
        <v>46324</v>
      </c>
      <c r="C1619" s="8">
        <v>46078</v>
      </c>
      <c r="D1619" s="8">
        <v>45897</v>
      </c>
      <c r="E1619" s="8">
        <v>45738</v>
      </c>
    </row>
    <row r="1620" spans="1:5" x14ac:dyDescent="0.25">
      <c r="A1620" s="1" t="s">
        <v>1610</v>
      </c>
      <c r="B1620" s="8"/>
      <c r="C1620" s="8"/>
      <c r="D1620" s="8"/>
      <c r="E1620" s="8"/>
    </row>
    <row r="1621" spans="1:5" x14ac:dyDescent="0.25">
      <c r="A1621" s="1" t="s">
        <v>1611</v>
      </c>
      <c r="B1621" s="8"/>
      <c r="C1621" s="8"/>
      <c r="D1621" s="8"/>
      <c r="E1621" s="8"/>
    </row>
    <row r="1622" spans="1:5" x14ac:dyDescent="0.25">
      <c r="A1622" s="1" t="s">
        <v>1612</v>
      </c>
      <c r="B1622" s="8">
        <v>45797</v>
      </c>
      <c r="C1622" s="8">
        <v>45646</v>
      </c>
      <c r="D1622" s="8">
        <v>45371</v>
      </c>
      <c r="E1622" s="8">
        <v>45189</v>
      </c>
    </row>
    <row r="1623" spans="1:5" x14ac:dyDescent="0.25">
      <c r="A1623" s="1" t="s">
        <v>1613</v>
      </c>
      <c r="B1623" s="8"/>
      <c r="C1623" s="8"/>
      <c r="D1623" s="8"/>
      <c r="E1623" s="8"/>
    </row>
    <row r="1624" spans="1:5" x14ac:dyDescent="0.25">
      <c r="A1624" s="1" t="s">
        <v>1614</v>
      </c>
      <c r="B1624" s="8">
        <v>46059</v>
      </c>
      <c r="C1624" s="8">
        <v>45908</v>
      </c>
      <c r="D1624" s="8">
        <v>45686</v>
      </c>
      <c r="E1624" s="8">
        <v>45622</v>
      </c>
    </row>
    <row r="1625" spans="1:5" x14ac:dyDescent="0.25">
      <c r="A1625" s="1" t="s">
        <v>1615</v>
      </c>
      <c r="B1625" s="8"/>
      <c r="C1625" s="8"/>
      <c r="D1625" s="8"/>
      <c r="E1625" s="8"/>
    </row>
    <row r="1626" spans="1:5" x14ac:dyDescent="0.25">
      <c r="A1626" s="1" t="s">
        <v>1616</v>
      </c>
      <c r="B1626" s="8"/>
      <c r="C1626" s="8"/>
      <c r="D1626" s="8"/>
      <c r="E1626" s="8"/>
    </row>
    <row r="1627" spans="1:5" x14ac:dyDescent="0.25">
      <c r="A1627" s="1" t="s">
        <v>1617</v>
      </c>
      <c r="B1627" s="8">
        <v>46171</v>
      </c>
      <c r="C1627" s="8">
        <v>46017</v>
      </c>
      <c r="D1627" s="8">
        <v>45863</v>
      </c>
      <c r="E1627" s="8">
        <v>45629</v>
      </c>
    </row>
    <row r="1628" spans="1:5" x14ac:dyDescent="0.25">
      <c r="A1628" s="1" t="s">
        <v>1619</v>
      </c>
      <c r="B1628" s="8"/>
      <c r="C1628" s="8"/>
      <c r="D1628" s="8"/>
      <c r="E1628" s="8"/>
    </row>
    <row r="1629" spans="1:5" x14ac:dyDescent="0.25">
      <c r="A1629" s="1" t="s">
        <v>1618</v>
      </c>
      <c r="B1629" s="8"/>
      <c r="C1629" s="8"/>
      <c r="D1629" s="8"/>
      <c r="E1629" s="8"/>
    </row>
    <row r="1630" spans="1:5" x14ac:dyDescent="0.25">
      <c r="A1630" s="1" t="s">
        <v>1620</v>
      </c>
      <c r="B1630" s="8">
        <v>46265</v>
      </c>
      <c r="C1630" s="8">
        <v>46098</v>
      </c>
      <c r="D1630" s="8">
        <v>45889</v>
      </c>
      <c r="E1630" s="8">
        <v>45727</v>
      </c>
    </row>
    <row r="1631" spans="1:5" x14ac:dyDescent="0.25">
      <c r="A1631" s="1" t="s">
        <v>1621</v>
      </c>
      <c r="B1631" s="8"/>
      <c r="C1631" s="8"/>
      <c r="D1631" s="8"/>
      <c r="E1631" s="8"/>
    </row>
    <row r="1632" spans="1:5" x14ac:dyDescent="0.25">
      <c r="A1632" s="1" t="s">
        <v>1623</v>
      </c>
      <c r="B1632" s="8">
        <v>46156</v>
      </c>
      <c r="C1632" s="8">
        <v>46002</v>
      </c>
      <c r="D1632" s="8">
        <v>45784</v>
      </c>
      <c r="E1632" s="8">
        <v>45612</v>
      </c>
    </row>
    <row r="1633" spans="1:5" x14ac:dyDescent="0.25">
      <c r="A1633" s="1" t="s">
        <v>1622</v>
      </c>
      <c r="B1633" s="8">
        <v>46265</v>
      </c>
      <c r="C1633" s="8">
        <v>46098</v>
      </c>
      <c r="D1633" s="8">
        <v>45889</v>
      </c>
      <c r="E1633" s="8">
        <v>45727</v>
      </c>
    </row>
    <row r="1634" spans="1:5" x14ac:dyDescent="0.25">
      <c r="A1634" s="1" t="s">
        <v>1624</v>
      </c>
      <c r="B1634" s="8">
        <v>46245</v>
      </c>
      <c r="C1634" s="8">
        <v>46069</v>
      </c>
      <c r="D1634" s="8">
        <v>45864</v>
      </c>
      <c r="E1634" s="8">
        <v>45693</v>
      </c>
    </row>
    <row r="1635" spans="1:5" x14ac:dyDescent="0.25">
      <c r="A1635" s="1" t="s">
        <v>1626</v>
      </c>
      <c r="B1635" s="8">
        <v>46191</v>
      </c>
      <c r="C1635" s="8">
        <v>46024</v>
      </c>
      <c r="D1635" s="8">
        <v>45852</v>
      </c>
      <c r="E1635" s="8">
        <v>45644</v>
      </c>
    </row>
    <row r="1636" spans="1:5" x14ac:dyDescent="0.25">
      <c r="A1636" s="1" t="s">
        <v>1625</v>
      </c>
      <c r="B1636" s="8"/>
      <c r="C1636" s="8"/>
      <c r="D1636" s="8"/>
      <c r="E1636" s="8"/>
    </row>
    <row r="1637" spans="1:5" x14ac:dyDescent="0.25">
      <c r="A1637" s="1" t="s">
        <v>1627</v>
      </c>
      <c r="B1637" s="8"/>
      <c r="C1637" s="8"/>
      <c r="D1637" s="8"/>
      <c r="E1637" s="8"/>
    </row>
    <row r="1638" spans="1:5" x14ac:dyDescent="0.25">
      <c r="A1638" s="1" t="s">
        <v>1628</v>
      </c>
      <c r="B1638" s="8"/>
      <c r="C1638" s="8"/>
      <c r="D1638" s="8"/>
      <c r="E1638" s="8"/>
    </row>
    <row r="1639" spans="1:5" x14ac:dyDescent="0.25">
      <c r="A1639" s="1" t="s">
        <v>1629</v>
      </c>
      <c r="B1639" s="8"/>
      <c r="C1639" s="8"/>
      <c r="D1639" s="8"/>
      <c r="E1639" s="8"/>
    </row>
    <row r="1640" spans="1:5" x14ac:dyDescent="0.25">
      <c r="A1640" s="1" t="s">
        <v>1630</v>
      </c>
      <c r="B1640" s="8"/>
      <c r="C1640" s="8"/>
      <c r="D1640" s="8"/>
      <c r="E1640" s="8"/>
    </row>
    <row r="1641" spans="1:5" x14ac:dyDescent="0.25">
      <c r="A1641" s="1" t="s">
        <v>1632</v>
      </c>
      <c r="B1641" s="8">
        <v>46196</v>
      </c>
      <c r="C1641" s="8">
        <v>46045</v>
      </c>
      <c r="D1641" s="8">
        <v>45853</v>
      </c>
      <c r="E1641" s="8">
        <v>45635</v>
      </c>
    </row>
    <row r="1642" spans="1:5" x14ac:dyDescent="0.25">
      <c r="A1642" s="1" t="s">
        <v>1631</v>
      </c>
      <c r="B1642" s="8"/>
      <c r="C1642" s="8"/>
      <c r="D1642" s="8"/>
      <c r="E1642" s="8"/>
    </row>
    <row r="1643" spans="1:5" x14ac:dyDescent="0.25">
      <c r="A1643" s="1" t="s">
        <v>1633</v>
      </c>
      <c r="B1643" s="8">
        <v>46241</v>
      </c>
      <c r="C1643" s="8">
        <v>46072</v>
      </c>
      <c r="D1643" s="8">
        <v>45911</v>
      </c>
      <c r="E1643" s="8">
        <v>45701</v>
      </c>
    </row>
    <row r="1644" spans="1:5" x14ac:dyDescent="0.25">
      <c r="A1644" s="1" t="s">
        <v>1634</v>
      </c>
      <c r="B1644" s="8">
        <v>46241</v>
      </c>
      <c r="C1644" s="8">
        <v>46072</v>
      </c>
      <c r="D1644" s="8">
        <v>45912</v>
      </c>
      <c r="E1644" s="8">
        <v>45701</v>
      </c>
    </row>
    <row r="1645" spans="1:5" x14ac:dyDescent="0.25">
      <c r="A1645" s="1" t="s">
        <v>1635</v>
      </c>
      <c r="B1645" s="8"/>
      <c r="C1645" s="8"/>
      <c r="D1645" s="8"/>
      <c r="E1645" s="8"/>
    </row>
    <row r="1646" spans="1:5" x14ac:dyDescent="0.25">
      <c r="A1646" s="1" t="s">
        <v>1636</v>
      </c>
      <c r="B1646" s="8">
        <v>46239</v>
      </c>
      <c r="C1646" s="8">
        <v>46083</v>
      </c>
      <c r="D1646" s="8">
        <v>45902</v>
      </c>
      <c r="E1646" s="8">
        <v>45752</v>
      </c>
    </row>
    <row r="1647" spans="1:5" x14ac:dyDescent="0.25">
      <c r="A1647" s="1" t="s">
        <v>1637</v>
      </c>
      <c r="B1647" s="8">
        <v>46225</v>
      </c>
      <c r="C1647" s="8">
        <v>46014</v>
      </c>
      <c r="D1647" s="8">
        <v>45783</v>
      </c>
      <c r="E1647" s="8">
        <v>45618</v>
      </c>
    </row>
    <row r="1648" spans="1:5" x14ac:dyDescent="0.25">
      <c r="A1648" s="1" t="s">
        <v>1638</v>
      </c>
      <c r="B1648" s="8">
        <v>44732</v>
      </c>
      <c r="C1648" s="8">
        <v>44665</v>
      </c>
      <c r="D1648" s="8"/>
      <c r="E1648" s="8"/>
    </row>
    <row r="1649" spans="1:5" x14ac:dyDescent="0.25">
      <c r="A1649" s="1" t="s">
        <v>1639</v>
      </c>
      <c r="B1649" s="8"/>
      <c r="C1649" s="8"/>
      <c r="D1649" s="8"/>
      <c r="E1649" s="8"/>
    </row>
    <row r="1650" spans="1:5" x14ac:dyDescent="0.25">
      <c r="A1650" s="1" t="s">
        <v>1640</v>
      </c>
      <c r="B1650" s="8"/>
      <c r="C1650" s="8"/>
      <c r="D1650" s="8"/>
      <c r="E1650" s="8"/>
    </row>
    <row r="1651" spans="1:5" x14ac:dyDescent="0.25">
      <c r="A1651" s="1" t="s">
        <v>1641</v>
      </c>
      <c r="B1651" s="8"/>
      <c r="C1651" s="8"/>
      <c r="D1651" s="8"/>
      <c r="E1651" s="8"/>
    </row>
    <row r="1652" spans="1:5" x14ac:dyDescent="0.25">
      <c r="A1652" s="1" t="s">
        <v>1642</v>
      </c>
      <c r="B1652" s="8">
        <v>46211</v>
      </c>
      <c r="C1652" s="8">
        <v>46057</v>
      </c>
      <c r="D1652" s="8">
        <v>45842</v>
      </c>
      <c r="E1652" s="8">
        <v>45701</v>
      </c>
    </row>
    <row r="1653" spans="1:5" x14ac:dyDescent="0.25">
      <c r="A1653" s="1" t="s">
        <v>1643</v>
      </c>
      <c r="B1653" s="8">
        <v>44881</v>
      </c>
      <c r="C1653" s="8"/>
      <c r="D1653" s="8"/>
      <c r="E1653" s="8"/>
    </row>
    <row r="1654" spans="1:5" x14ac:dyDescent="0.25">
      <c r="A1654" s="1" t="s">
        <v>1644</v>
      </c>
      <c r="B1654" s="8">
        <v>46314</v>
      </c>
      <c r="C1654" s="8">
        <v>45967</v>
      </c>
      <c r="D1654" s="8">
        <v>45603</v>
      </c>
      <c r="E1654" s="8">
        <v>45259</v>
      </c>
    </row>
    <row r="1655" spans="1:5" x14ac:dyDescent="0.25">
      <c r="A1655" s="1" t="s">
        <v>1645</v>
      </c>
      <c r="B1655" s="8">
        <v>46239</v>
      </c>
      <c r="C1655" s="8">
        <v>46083</v>
      </c>
      <c r="D1655" s="8">
        <v>45902</v>
      </c>
      <c r="E1655" s="8">
        <v>45692</v>
      </c>
    </row>
    <row r="1656" spans="1:5" x14ac:dyDescent="0.25">
      <c r="A1656" s="1" t="s">
        <v>1648</v>
      </c>
      <c r="B1656" s="8">
        <v>46310</v>
      </c>
      <c r="C1656" s="8">
        <v>46130</v>
      </c>
      <c r="D1656" s="8">
        <v>45922</v>
      </c>
      <c r="E1656" s="8">
        <v>45754</v>
      </c>
    </row>
    <row r="1657" spans="1:5" x14ac:dyDescent="0.25">
      <c r="A1657" s="1" t="s">
        <v>1647</v>
      </c>
      <c r="B1657" s="8">
        <v>46300</v>
      </c>
      <c r="C1657" s="8">
        <v>46130</v>
      </c>
      <c r="D1657" s="8">
        <v>45922</v>
      </c>
      <c r="E1657" s="8">
        <v>45755</v>
      </c>
    </row>
    <row r="1658" spans="1:5" x14ac:dyDescent="0.25">
      <c r="A1658" s="1" t="s">
        <v>1646</v>
      </c>
      <c r="B1658" s="8">
        <v>46310</v>
      </c>
      <c r="C1658" s="8">
        <v>46195</v>
      </c>
      <c r="D1658" s="8">
        <v>46002</v>
      </c>
      <c r="E1658" s="8">
        <v>45799</v>
      </c>
    </row>
    <row r="1659" spans="1:5" x14ac:dyDescent="0.25">
      <c r="A1659" s="1" t="s">
        <v>1649</v>
      </c>
      <c r="B1659" s="8">
        <v>46312</v>
      </c>
      <c r="C1659" s="8">
        <v>46157</v>
      </c>
      <c r="D1659" s="8">
        <v>45955</v>
      </c>
      <c r="E1659" s="8">
        <v>45792</v>
      </c>
    </row>
    <row r="1660" spans="1:5" x14ac:dyDescent="0.25">
      <c r="A1660" s="1" t="s">
        <v>1650</v>
      </c>
      <c r="B1660" s="8"/>
      <c r="C1660" s="8"/>
      <c r="D1660" s="8"/>
      <c r="E1660" s="8"/>
    </row>
    <row r="1661" spans="1:5" x14ac:dyDescent="0.25">
      <c r="A1661" s="1" t="s">
        <v>1651</v>
      </c>
      <c r="B1661" s="8">
        <v>46196</v>
      </c>
      <c r="C1661" s="8">
        <v>46038</v>
      </c>
      <c r="D1661" s="8">
        <v>45821</v>
      </c>
      <c r="E1661" s="8">
        <v>45663</v>
      </c>
    </row>
    <row r="1662" spans="1:5" x14ac:dyDescent="0.25">
      <c r="A1662" s="1" t="s">
        <v>1652</v>
      </c>
      <c r="B1662" s="8">
        <v>46037</v>
      </c>
      <c r="C1662" s="8">
        <v>45750</v>
      </c>
      <c r="D1662" s="8">
        <v>45014</v>
      </c>
      <c r="E1662" s="8"/>
    </row>
    <row r="1663" spans="1:5" x14ac:dyDescent="0.25">
      <c r="A1663" s="1" t="s">
        <v>1653</v>
      </c>
      <c r="B1663" s="8">
        <v>45393</v>
      </c>
      <c r="C1663" s="8">
        <v>45278</v>
      </c>
      <c r="D1663" s="8">
        <v>44994</v>
      </c>
      <c r="E1663" s="8">
        <v>44936</v>
      </c>
    </row>
    <row r="1664" spans="1:5" x14ac:dyDescent="0.25">
      <c r="A1664" s="1" t="s">
        <v>1655</v>
      </c>
      <c r="B1664" s="8"/>
      <c r="C1664" s="8"/>
      <c r="D1664" s="8"/>
      <c r="E1664" s="8"/>
    </row>
    <row r="1665" spans="1:5" x14ac:dyDescent="0.25">
      <c r="A1665" s="1" t="s">
        <v>1654</v>
      </c>
      <c r="B1665" s="8"/>
      <c r="C1665" s="8"/>
      <c r="D1665" s="8"/>
      <c r="E1665" s="8"/>
    </row>
    <row r="1666" spans="1:5" x14ac:dyDescent="0.25">
      <c r="A1666" s="1" t="s">
        <v>1656</v>
      </c>
      <c r="B1666" s="8">
        <v>46203</v>
      </c>
      <c r="C1666" s="8">
        <v>46053</v>
      </c>
      <c r="D1666" s="8">
        <v>45912</v>
      </c>
      <c r="E1666" s="8">
        <v>45702</v>
      </c>
    </row>
    <row r="1667" spans="1:5" x14ac:dyDescent="0.25">
      <c r="A1667" s="1" t="s">
        <v>1657</v>
      </c>
      <c r="B1667" s="8"/>
      <c r="C1667" s="8"/>
      <c r="D1667" s="8"/>
      <c r="E1667" s="8"/>
    </row>
    <row r="1668" spans="1:5" x14ac:dyDescent="0.25">
      <c r="A1668" s="1" t="s">
        <v>1658</v>
      </c>
      <c r="B1668" s="8"/>
      <c r="C1668" s="8"/>
      <c r="D1668" s="8"/>
      <c r="E1668" s="8"/>
    </row>
    <row r="1669" spans="1:5" x14ac:dyDescent="0.25">
      <c r="A1669" s="1" t="s">
        <v>1659</v>
      </c>
      <c r="B1669" s="8">
        <v>46155</v>
      </c>
      <c r="C1669" s="8">
        <v>46017</v>
      </c>
      <c r="D1669" s="8">
        <v>45819</v>
      </c>
      <c r="E1669" s="8">
        <v>45650</v>
      </c>
    </row>
    <row r="1670" spans="1:5" x14ac:dyDescent="0.25">
      <c r="A1670" s="1" t="s">
        <v>1660</v>
      </c>
      <c r="B1670" s="8">
        <v>46080</v>
      </c>
      <c r="C1670" s="8">
        <v>46069</v>
      </c>
      <c r="D1670" s="8">
        <v>45866</v>
      </c>
      <c r="E1670" s="8">
        <v>45673</v>
      </c>
    </row>
    <row r="1671" spans="1:5" x14ac:dyDescent="0.25">
      <c r="A1671" s="1" t="s">
        <v>1661</v>
      </c>
      <c r="B1671" s="8">
        <v>46188</v>
      </c>
      <c r="C1671" s="8">
        <v>45843</v>
      </c>
      <c r="D1671" s="8">
        <v>45664</v>
      </c>
      <c r="E1671" s="8">
        <v>45363</v>
      </c>
    </row>
    <row r="1672" spans="1:5" x14ac:dyDescent="0.25">
      <c r="A1672" s="1" t="s">
        <v>1662</v>
      </c>
      <c r="B1672" s="8"/>
      <c r="C1672" s="8"/>
      <c r="D1672" s="8"/>
      <c r="E1672" s="8"/>
    </row>
    <row r="1673" spans="1:5" x14ac:dyDescent="0.25">
      <c r="A1673" s="1" t="s">
        <v>1663</v>
      </c>
      <c r="B1673" s="8">
        <v>46178</v>
      </c>
      <c r="C1673" s="8">
        <v>46008</v>
      </c>
      <c r="D1673" s="8">
        <v>45783</v>
      </c>
      <c r="E1673" s="8">
        <v>45665</v>
      </c>
    </row>
    <row r="1674" spans="1:5" x14ac:dyDescent="0.25">
      <c r="A1674" s="1" t="s">
        <v>1664</v>
      </c>
      <c r="B1674" s="8">
        <v>45995</v>
      </c>
      <c r="C1674" s="8">
        <v>45797</v>
      </c>
      <c r="D1674" s="8">
        <v>45618</v>
      </c>
      <c r="E1674" s="8">
        <v>45427</v>
      </c>
    </row>
    <row r="1675" spans="1:5" x14ac:dyDescent="0.25">
      <c r="A1675" s="1" t="s">
        <v>1665</v>
      </c>
      <c r="B1675" s="8">
        <v>46053</v>
      </c>
      <c r="C1675" s="8">
        <v>45805</v>
      </c>
      <c r="D1675" s="8">
        <v>45702</v>
      </c>
      <c r="E1675" s="8">
        <v>45530</v>
      </c>
    </row>
    <row r="1676" spans="1:5" x14ac:dyDescent="0.25">
      <c r="A1676" s="1" t="s">
        <v>1666</v>
      </c>
      <c r="B1676" s="8"/>
      <c r="C1676" s="8"/>
      <c r="D1676" s="8"/>
      <c r="E1676" s="8"/>
    </row>
    <row r="1677" spans="1:5" x14ac:dyDescent="0.25">
      <c r="A1677" s="1" t="s">
        <v>1667</v>
      </c>
      <c r="B1677" s="8"/>
      <c r="C1677" s="8"/>
      <c r="D1677" s="8"/>
      <c r="E1677" s="8"/>
    </row>
    <row r="1678" spans="1:5" x14ac:dyDescent="0.25">
      <c r="A1678" s="1" t="s">
        <v>1668</v>
      </c>
      <c r="B1678" s="8"/>
      <c r="C1678" s="8"/>
      <c r="D1678" s="8"/>
      <c r="E1678" s="8"/>
    </row>
    <row r="1679" spans="1:5" x14ac:dyDescent="0.25">
      <c r="A1679" s="1" t="s">
        <v>1669</v>
      </c>
      <c r="B1679" s="8">
        <v>46160</v>
      </c>
      <c r="C1679" s="8">
        <v>45982</v>
      </c>
      <c r="D1679" s="8">
        <v>45561</v>
      </c>
      <c r="E1679" s="8">
        <v>45441</v>
      </c>
    </row>
    <row r="1680" spans="1:5" x14ac:dyDescent="0.25">
      <c r="A1680" s="1" t="s">
        <v>1670</v>
      </c>
      <c r="B1680" s="8"/>
      <c r="C1680" s="8"/>
      <c r="D1680" s="8"/>
      <c r="E1680" s="8"/>
    </row>
    <row r="1681" spans="1:5" x14ac:dyDescent="0.25">
      <c r="A1681" s="1" t="s">
        <v>1671</v>
      </c>
      <c r="B1681" s="8">
        <v>46210</v>
      </c>
      <c r="C1681" s="8">
        <v>46049</v>
      </c>
      <c r="D1681" s="8">
        <v>45883</v>
      </c>
      <c r="E1681" s="8">
        <v>45677</v>
      </c>
    </row>
    <row r="1682" spans="1:5" x14ac:dyDescent="0.25">
      <c r="A1682" s="1" t="s">
        <v>1672</v>
      </c>
      <c r="B1682" s="8">
        <v>46296</v>
      </c>
      <c r="C1682" s="8">
        <v>46065</v>
      </c>
      <c r="D1682" s="8">
        <v>45867</v>
      </c>
      <c r="E1682" s="8">
        <v>45531</v>
      </c>
    </row>
    <row r="1683" spans="1:5" x14ac:dyDescent="0.25">
      <c r="A1683" s="1" t="s">
        <v>1675</v>
      </c>
      <c r="B1683" s="8"/>
      <c r="C1683" s="8"/>
      <c r="D1683" s="8"/>
      <c r="E1683" s="8"/>
    </row>
    <row r="1684" spans="1:5" x14ac:dyDescent="0.25">
      <c r="A1684" s="1" t="s">
        <v>1674</v>
      </c>
      <c r="B1684" s="8"/>
      <c r="C1684" s="8"/>
      <c r="D1684" s="8"/>
      <c r="E1684" s="8"/>
    </row>
    <row r="1685" spans="1:5" x14ac:dyDescent="0.25">
      <c r="A1685" s="1" t="s">
        <v>1673</v>
      </c>
      <c r="B1685" s="8"/>
      <c r="C1685" s="8"/>
      <c r="D1685" s="8"/>
      <c r="E1685" s="8"/>
    </row>
    <row r="1686" spans="1:5" x14ac:dyDescent="0.25">
      <c r="A1686" s="1" t="s">
        <v>1677</v>
      </c>
      <c r="B1686" s="8">
        <v>44666</v>
      </c>
      <c r="C1686" s="8"/>
      <c r="D1686" s="8"/>
      <c r="E1686" s="8"/>
    </row>
    <row r="1687" spans="1:5" x14ac:dyDescent="0.25">
      <c r="A1687" s="1" t="s">
        <v>1678</v>
      </c>
      <c r="B1687" s="8">
        <v>46134</v>
      </c>
      <c r="C1687" s="8">
        <v>45981</v>
      </c>
      <c r="D1687" s="8">
        <v>45786</v>
      </c>
      <c r="E1687" s="8">
        <v>45623</v>
      </c>
    </row>
    <row r="1688" spans="1:5" x14ac:dyDescent="0.25">
      <c r="A1688" s="1" t="s">
        <v>1676</v>
      </c>
      <c r="B1688" s="8">
        <v>46322</v>
      </c>
      <c r="C1688" s="8">
        <v>46134</v>
      </c>
      <c r="D1688" s="8">
        <v>45931</v>
      </c>
      <c r="E1688" s="8">
        <v>45754</v>
      </c>
    </row>
    <row r="1689" spans="1:5" x14ac:dyDescent="0.25">
      <c r="A1689" s="1" t="s">
        <v>1679</v>
      </c>
      <c r="B1689" s="8">
        <v>46218</v>
      </c>
      <c r="C1689" s="8">
        <v>46058</v>
      </c>
      <c r="D1689" s="8">
        <v>45720</v>
      </c>
      <c r="E1689" s="8">
        <v>45623</v>
      </c>
    </row>
    <row r="1690" spans="1:5" x14ac:dyDescent="0.25">
      <c r="A1690" s="1" t="s">
        <v>1680</v>
      </c>
      <c r="B1690" s="8"/>
      <c r="C1690" s="8"/>
      <c r="D1690" s="8"/>
      <c r="E1690" s="8"/>
    </row>
    <row r="1691" spans="1:5" x14ac:dyDescent="0.25">
      <c r="A1691" s="1" t="s">
        <v>1681</v>
      </c>
      <c r="B1691" s="8"/>
      <c r="C1691" s="8"/>
      <c r="D1691" s="8"/>
      <c r="E1691" s="8"/>
    </row>
    <row r="1692" spans="1:5" x14ac:dyDescent="0.25">
      <c r="A1692" s="1" t="s">
        <v>1682</v>
      </c>
      <c r="B1692" s="8"/>
      <c r="C1692" s="8"/>
      <c r="D1692" s="8"/>
      <c r="E1692" s="8"/>
    </row>
    <row r="1693" spans="1:5" x14ac:dyDescent="0.25">
      <c r="A1693" s="1" t="s">
        <v>1683</v>
      </c>
      <c r="B1693" s="8"/>
      <c r="C1693" s="8"/>
      <c r="D1693" s="8"/>
      <c r="E1693" s="8"/>
    </row>
    <row r="1694" spans="1:5" x14ac:dyDescent="0.25">
      <c r="A1694" s="1" t="s">
        <v>1684</v>
      </c>
      <c r="B1694" s="8"/>
      <c r="C1694" s="8"/>
      <c r="D1694" s="8"/>
      <c r="E1694" s="8"/>
    </row>
    <row r="1695" spans="1:5" x14ac:dyDescent="0.25">
      <c r="A1695" s="1" t="s">
        <v>1685</v>
      </c>
      <c r="B1695" s="8"/>
      <c r="C1695" s="8"/>
      <c r="D1695" s="8"/>
      <c r="E1695" s="8"/>
    </row>
    <row r="1696" spans="1:5" x14ac:dyDescent="0.25">
      <c r="A1696" s="1" t="s">
        <v>1689</v>
      </c>
      <c r="B1696" s="8"/>
      <c r="C1696" s="8"/>
      <c r="D1696" s="8"/>
      <c r="E1696" s="8"/>
    </row>
    <row r="1697" spans="1:5" x14ac:dyDescent="0.25">
      <c r="A1697" s="1" t="s">
        <v>1687</v>
      </c>
      <c r="B1697" s="8"/>
      <c r="C1697" s="8"/>
      <c r="D1697" s="8"/>
      <c r="E1697" s="8"/>
    </row>
    <row r="1698" spans="1:5" x14ac:dyDescent="0.25">
      <c r="A1698" s="1" t="s">
        <v>1688</v>
      </c>
      <c r="B1698" s="8"/>
      <c r="C1698" s="8"/>
      <c r="D1698" s="8"/>
      <c r="E1698" s="8"/>
    </row>
    <row r="1699" spans="1:5" x14ac:dyDescent="0.25">
      <c r="A1699" s="1" t="s">
        <v>1686</v>
      </c>
      <c r="B1699" s="8">
        <v>46155</v>
      </c>
      <c r="C1699" s="8">
        <v>46017</v>
      </c>
      <c r="D1699" s="8">
        <v>45819</v>
      </c>
      <c r="E1699" s="8">
        <v>45762</v>
      </c>
    </row>
    <row r="1700" spans="1:5" x14ac:dyDescent="0.25">
      <c r="A1700" s="1" t="s">
        <v>1690</v>
      </c>
      <c r="B1700" s="8"/>
      <c r="C1700" s="8"/>
      <c r="D1700" s="8"/>
      <c r="E1700" s="8"/>
    </row>
    <row r="1701" spans="1:5" x14ac:dyDescent="0.25">
      <c r="A1701" s="1" t="s">
        <v>1691</v>
      </c>
      <c r="B1701" s="8">
        <v>46206</v>
      </c>
      <c r="C1701" s="8">
        <v>46008</v>
      </c>
      <c r="D1701" s="8">
        <v>45808</v>
      </c>
      <c r="E1701" s="8">
        <v>45649</v>
      </c>
    </row>
    <row r="1702" spans="1:5" x14ac:dyDescent="0.25">
      <c r="A1702" s="1" t="s">
        <v>1692</v>
      </c>
      <c r="B1702" s="8">
        <v>44685</v>
      </c>
      <c r="C1702" s="8"/>
      <c r="D1702" s="8"/>
      <c r="E1702" s="8"/>
    </row>
    <row r="1703" spans="1:5" x14ac:dyDescent="0.25">
      <c r="A1703" s="1" t="s">
        <v>1693</v>
      </c>
      <c r="B1703" s="8">
        <v>46302</v>
      </c>
      <c r="C1703" s="8">
        <v>46169</v>
      </c>
      <c r="D1703" s="8">
        <v>45988</v>
      </c>
      <c r="E1703" s="8">
        <v>45772</v>
      </c>
    </row>
    <row r="1704" spans="1:5" x14ac:dyDescent="0.25">
      <c r="A1704" s="1" t="s">
        <v>1694</v>
      </c>
      <c r="B1704" s="8">
        <v>46125</v>
      </c>
      <c r="C1704" s="8">
        <v>45958</v>
      </c>
      <c r="D1704" s="8">
        <v>45748</v>
      </c>
      <c r="E1704" s="8">
        <v>45610</v>
      </c>
    </row>
    <row r="1705" spans="1:5" x14ac:dyDescent="0.25">
      <c r="A1705" s="1" t="s">
        <v>1695</v>
      </c>
      <c r="B1705" s="8"/>
      <c r="C1705" s="8"/>
      <c r="D1705" s="8"/>
      <c r="E1705" s="8"/>
    </row>
    <row r="1706" spans="1:5" x14ac:dyDescent="0.25">
      <c r="A1706" s="1" t="s">
        <v>1696</v>
      </c>
      <c r="B1706" s="8">
        <v>46195</v>
      </c>
      <c r="C1706" s="8">
        <v>46155</v>
      </c>
      <c r="D1706" s="8">
        <v>45931</v>
      </c>
      <c r="E1706" s="8">
        <v>45629</v>
      </c>
    </row>
    <row r="1707" spans="1:5" x14ac:dyDescent="0.25">
      <c r="A1707" s="1" t="s">
        <v>1697</v>
      </c>
      <c r="B1707" s="8">
        <v>46291</v>
      </c>
      <c r="C1707" s="8">
        <v>46050</v>
      </c>
      <c r="D1707" s="8">
        <v>45940</v>
      </c>
      <c r="E1707" s="8">
        <v>45635</v>
      </c>
    </row>
    <row r="1708" spans="1:5" x14ac:dyDescent="0.25">
      <c r="A1708" s="1" t="s">
        <v>1698</v>
      </c>
      <c r="B1708" s="8">
        <v>46189</v>
      </c>
      <c r="C1708" s="8">
        <v>46031</v>
      </c>
      <c r="D1708" s="8">
        <v>45687</v>
      </c>
      <c r="E1708" s="8">
        <v>45386</v>
      </c>
    </row>
    <row r="1709" spans="1:5" x14ac:dyDescent="0.25">
      <c r="A1709" s="1" t="s">
        <v>1699</v>
      </c>
      <c r="B1709" s="8"/>
      <c r="C1709" s="8"/>
      <c r="D1709" s="8"/>
      <c r="E1709" s="8"/>
    </row>
    <row r="1710" spans="1:5" x14ac:dyDescent="0.25">
      <c r="A1710" s="1" t="s">
        <v>1700</v>
      </c>
      <c r="B1710" s="8"/>
      <c r="C1710" s="8"/>
      <c r="D1710" s="8"/>
      <c r="E1710" s="8"/>
    </row>
    <row r="1711" spans="1:5" x14ac:dyDescent="0.25">
      <c r="A1711" s="1" t="s">
        <v>1701</v>
      </c>
      <c r="B1711" s="8">
        <v>46009</v>
      </c>
      <c r="C1711" s="8">
        <v>45855</v>
      </c>
      <c r="D1711" s="8">
        <v>45614</v>
      </c>
      <c r="E1711" s="8">
        <v>45444</v>
      </c>
    </row>
    <row r="1712" spans="1:5" x14ac:dyDescent="0.25">
      <c r="A1712" s="1" t="s">
        <v>1702</v>
      </c>
      <c r="B1712" s="8"/>
      <c r="C1712" s="8"/>
      <c r="D1712" s="8"/>
      <c r="E1712" s="8"/>
    </row>
    <row r="1713" spans="1:5" x14ac:dyDescent="0.25">
      <c r="A1713" s="1" t="s">
        <v>1704</v>
      </c>
      <c r="B1713" s="8"/>
      <c r="C1713" s="8"/>
      <c r="D1713" s="8"/>
      <c r="E1713" s="8"/>
    </row>
    <row r="1714" spans="1:5" x14ac:dyDescent="0.25">
      <c r="A1714" s="1" t="s">
        <v>1703</v>
      </c>
      <c r="B1714" s="8"/>
      <c r="C1714" s="8"/>
      <c r="D1714" s="8"/>
      <c r="E1714" s="8"/>
    </row>
    <row r="1715" spans="1:5" x14ac:dyDescent="0.25">
      <c r="A1715" s="1" t="s">
        <v>1705</v>
      </c>
      <c r="B1715" s="8"/>
      <c r="C1715" s="8"/>
      <c r="D1715" s="8"/>
      <c r="E1715" s="8"/>
    </row>
    <row r="1716" spans="1:5" x14ac:dyDescent="0.25">
      <c r="A1716" s="1" t="s">
        <v>1706</v>
      </c>
      <c r="B1716" s="8"/>
      <c r="C1716" s="8"/>
      <c r="D1716" s="8"/>
      <c r="E1716" s="8"/>
    </row>
    <row r="1717" spans="1:5" x14ac:dyDescent="0.25">
      <c r="A1717" s="1" t="s">
        <v>1707</v>
      </c>
      <c r="B1717" s="8"/>
      <c r="C1717" s="8"/>
      <c r="D1717" s="8"/>
      <c r="E1717" s="8"/>
    </row>
    <row r="1718" spans="1:5" x14ac:dyDescent="0.25">
      <c r="A1718" s="1" t="s">
        <v>1708</v>
      </c>
      <c r="B1718" s="8"/>
      <c r="C1718" s="8"/>
      <c r="D1718" s="8"/>
      <c r="E1718" s="8"/>
    </row>
    <row r="1719" spans="1:5" x14ac:dyDescent="0.25">
      <c r="A1719" s="1" t="s">
        <v>1709</v>
      </c>
      <c r="B1719" s="8"/>
      <c r="C1719" s="8"/>
      <c r="D1719" s="8"/>
      <c r="E1719" s="8"/>
    </row>
    <row r="1720" spans="1:5" x14ac:dyDescent="0.25">
      <c r="A1720" s="1" t="s">
        <v>1710</v>
      </c>
      <c r="B1720" s="8"/>
      <c r="C1720" s="8"/>
      <c r="D1720" s="8"/>
      <c r="E1720" s="8"/>
    </row>
    <row r="1721" spans="1:5" x14ac:dyDescent="0.25">
      <c r="A1721" s="1" t="s">
        <v>1711</v>
      </c>
      <c r="B1721" s="8"/>
      <c r="C1721" s="8"/>
      <c r="D1721" s="8"/>
      <c r="E1721" s="8"/>
    </row>
    <row r="1722" spans="1:5" x14ac:dyDescent="0.25">
      <c r="A1722" s="1" t="s">
        <v>1712</v>
      </c>
      <c r="B1722" s="8">
        <v>46230</v>
      </c>
      <c r="C1722" s="8">
        <v>46018</v>
      </c>
      <c r="D1722" s="8">
        <v>45805</v>
      </c>
      <c r="E1722" s="8">
        <v>45607</v>
      </c>
    </row>
    <row r="1723" spans="1:5" x14ac:dyDescent="0.25">
      <c r="A1723" s="1" t="s">
        <v>1713</v>
      </c>
      <c r="B1723" s="8">
        <v>45562</v>
      </c>
      <c r="C1723" s="8">
        <v>45415</v>
      </c>
      <c r="D1723" s="8">
        <v>45184</v>
      </c>
      <c r="E1723" s="8">
        <v>45035</v>
      </c>
    </row>
    <row r="1724" spans="1:5" x14ac:dyDescent="0.25">
      <c r="A1724" s="1" t="s">
        <v>1715</v>
      </c>
      <c r="B1724" s="8">
        <v>46233</v>
      </c>
      <c r="C1724" s="8">
        <v>46031</v>
      </c>
      <c r="D1724" s="8">
        <v>45861</v>
      </c>
      <c r="E1724" s="8">
        <v>45643</v>
      </c>
    </row>
    <row r="1725" spans="1:5" x14ac:dyDescent="0.25">
      <c r="A1725" s="1" t="s">
        <v>1714</v>
      </c>
      <c r="B1725" s="8"/>
      <c r="C1725" s="8"/>
      <c r="D1725" s="8"/>
      <c r="E1725" s="8"/>
    </row>
    <row r="1726" spans="1:5" x14ac:dyDescent="0.25">
      <c r="A1726" s="1" t="s">
        <v>1716</v>
      </c>
      <c r="B1726" s="8"/>
      <c r="C1726" s="8"/>
      <c r="D1726" s="8"/>
      <c r="E1726" s="8"/>
    </row>
    <row r="1727" spans="1:5" x14ac:dyDescent="0.25">
      <c r="A1727" s="1" t="s">
        <v>1717</v>
      </c>
      <c r="B1727" s="8">
        <v>46154</v>
      </c>
      <c r="C1727" s="8"/>
      <c r="D1727" s="8"/>
      <c r="E1727" s="8"/>
    </row>
    <row r="1728" spans="1:5" x14ac:dyDescent="0.25">
      <c r="A1728" s="1" t="s">
        <v>1718</v>
      </c>
      <c r="B1728" s="8"/>
      <c r="C1728" s="8"/>
      <c r="D1728" s="8"/>
      <c r="E1728" s="8"/>
    </row>
    <row r="1729" spans="1:5" x14ac:dyDescent="0.25">
      <c r="A1729" s="1" t="s">
        <v>1720</v>
      </c>
      <c r="B1729" s="8"/>
      <c r="C1729" s="8"/>
      <c r="D1729" s="8"/>
      <c r="E1729" s="8"/>
    </row>
    <row r="1730" spans="1:5" x14ac:dyDescent="0.25">
      <c r="A1730" s="1" t="s">
        <v>1719</v>
      </c>
      <c r="B1730" s="8"/>
      <c r="C1730" s="8"/>
      <c r="D1730" s="8"/>
      <c r="E1730" s="8"/>
    </row>
    <row r="1731" spans="1:5" x14ac:dyDescent="0.25">
      <c r="A1731" s="1" t="s">
        <v>1721</v>
      </c>
      <c r="B1731" s="8">
        <v>46227</v>
      </c>
      <c r="C1731" s="8">
        <v>46060</v>
      </c>
      <c r="D1731" s="8"/>
      <c r="E1731" s="8"/>
    </row>
    <row r="1732" spans="1:5" x14ac:dyDescent="0.25">
      <c r="A1732" s="1" t="s">
        <v>1722</v>
      </c>
      <c r="B1732" s="8">
        <v>46160</v>
      </c>
      <c r="C1732" s="8">
        <v>46011</v>
      </c>
      <c r="D1732" s="8">
        <v>45805</v>
      </c>
      <c r="E1732" s="8">
        <v>45609</v>
      </c>
    </row>
    <row r="1733" spans="1:5" x14ac:dyDescent="0.25">
      <c r="A1733" s="1" t="s">
        <v>1723</v>
      </c>
      <c r="B1733" s="8">
        <v>44761</v>
      </c>
      <c r="C1733" s="8"/>
      <c r="D1733" s="8"/>
      <c r="E1733" s="8"/>
    </row>
    <row r="1734" spans="1:5" x14ac:dyDescent="0.25">
      <c r="A1734" s="1" t="s">
        <v>1724</v>
      </c>
      <c r="B1734" s="8">
        <v>45983</v>
      </c>
      <c r="C1734" s="8">
        <v>45973</v>
      </c>
      <c r="D1734" s="8">
        <v>45798</v>
      </c>
      <c r="E1734" s="8"/>
    </row>
    <row r="1735" spans="1:5" x14ac:dyDescent="0.25">
      <c r="A1735" s="1" t="s">
        <v>1725</v>
      </c>
      <c r="B1735" s="8"/>
      <c r="C1735" s="8"/>
      <c r="D1735" s="8"/>
      <c r="E1735" s="8"/>
    </row>
    <row r="1736" spans="1:5" x14ac:dyDescent="0.25">
      <c r="A1736" s="1" t="s">
        <v>1727</v>
      </c>
      <c r="B1736" s="8">
        <v>46160</v>
      </c>
      <c r="C1736" s="8">
        <v>46008</v>
      </c>
      <c r="D1736" s="8">
        <v>45812</v>
      </c>
      <c r="E1736" s="8">
        <v>45650</v>
      </c>
    </row>
    <row r="1737" spans="1:5" x14ac:dyDescent="0.25">
      <c r="A1737" s="1" t="s">
        <v>1726</v>
      </c>
      <c r="B1737" s="8"/>
      <c r="C1737" s="8"/>
      <c r="D1737" s="8"/>
      <c r="E1737" s="8"/>
    </row>
    <row r="1738" spans="1:5" x14ac:dyDescent="0.25">
      <c r="A1738" s="1" t="s">
        <v>1729</v>
      </c>
      <c r="B1738" s="8"/>
      <c r="C1738" s="8"/>
      <c r="D1738" s="8"/>
      <c r="E1738" s="8"/>
    </row>
    <row r="1739" spans="1:5" x14ac:dyDescent="0.25">
      <c r="A1739" s="1" t="s">
        <v>1728</v>
      </c>
      <c r="B1739" s="8">
        <v>46220</v>
      </c>
      <c r="C1739" s="8">
        <v>45965</v>
      </c>
      <c r="D1739" s="8">
        <v>45734</v>
      </c>
      <c r="E1739" s="8">
        <v>45352</v>
      </c>
    </row>
    <row r="1740" spans="1:5" x14ac:dyDescent="0.25">
      <c r="A1740" s="1" t="s">
        <v>1730</v>
      </c>
      <c r="B1740" s="8"/>
      <c r="C1740" s="8"/>
      <c r="D1740" s="8"/>
      <c r="E1740" s="8"/>
    </row>
    <row r="1741" spans="1:5" x14ac:dyDescent="0.25">
      <c r="A1741" s="1" t="s">
        <v>1731</v>
      </c>
      <c r="B1741" s="8">
        <v>46179</v>
      </c>
      <c r="C1741" s="8">
        <v>46010</v>
      </c>
      <c r="D1741" s="8">
        <v>45791</v>
      </c>
      <c r="E1741" s="8">
        <v>45644</v>
      </c>
    </row>
    <row r="1742" spans="1:5" x14ac:dyDescent="0.25">
      <c r="A1742" s="1" t="s">
        <v>1732</v>
      </c>
      <c r="B1742" s="8">
        <v>46220</v>
      </c>
      <c r="C1742" s="8">
        <v>46134</v>
      </c>
      <c r="D1742" s="8">
        <v>45975</v>
      </c>
      <c r="E1742" s="8">
        <v>45686</v>
      </c>
    </row>
    <row r="1743" spans="1:5" x14ac:dyDescent="0.25">
      <c r="A1743" s="1" t="s">
        <v>1740</v>
      </c>
      <c r="B1743" s="8">
        <v>46256</v>
      </c>
      <c r="C1743" s="8">
        <v>46071</v>
      </c>
      <c r="D1743" s="8">
        <v>45910</v>
      </c>
      <c r="E1743" s="8"/>
    </row>
    <row r="1744" spans="1:5" x14ac:dyDescent="0.25">
      <c r="A1744" s="1" t="s">
        <v>1737</v>
      </c>
      <c r="B1744" s="8"/>
      <c r="C1744" s="8"/>
      <c r="D1744" s="8"/>
      <c r="E1744" s="8"/>
    </row>
    <row r="1745" spans="1:5" x14ac:dyDescent="0.25">
      <c r="A1745" s="1" t="s">
        <v>1734</v>
      </c>
      <c r="B1745" s="8">
        <v>46307</v>
      </c>
      <c r="C1745" s="8">
        <v>46136</v>
      </c>
      <c r="D1745" s="8">
        <v>45919</v>
      </c>
      <c r="E1745" s="8">
        <v>45748</v>
      </c>
    </row>
    <row r="1746" spans="1:5" x14ac:dyDescent="0.25">
      <c r="A1746" s="1" t="s">
        <v>1741</v>
      </c>
      <c r="B1746" s="8">
        <v>45989</v>
      </c>
      <c r="C1746" s="8">
        <v>45813</v>
      </c>
      <c r="D1746" s="8">
        <v>45713</v>
      </c>
      <c r="E1746" s="8"/>
    </row>
    <row r="1747" spans="1:5" x14ac:dyDescent="0.25">
      <c r="A1747" s="1" t="s">
        <v>1733</v>
      </c>
      <c r="B1747" s="8"/>
      <c r="C1747" s="8"/>
      <c r="D1747" s="8"/>
      <c r="E1747" s="8"/>
    </row>
    <row r="1748" spans="1:5" x14ac:dyDescent="0.25">
      <c r="A1748" s="1" t="s">
        <v>1736</v>
      </c>
      <c r="B1748" s="8">
        <v>45915</v>
      </c>
      <c r="C1748" s="8">
        <v>45694</v>
      </c>
      <c r="D1748" s="8">
        <v>45506</v>
      </c>
      <c r="E1748" s="8">
        <v>45322</v>
      </c>
    </row>
    <row r="1749" spans="1:5" x14ac:dyDescent="0.25">
      <c r="A1749" s="1" t="s">
        <v>1739</v>
      </c>
      <c r="B1749" s="8">
        <v>46256</v>
      </c>
      <c r="C1749" s="8">
        <v>46071</v>
      </c>
      <c r="D1749" s="8">
        <v>45910</v>
      </c>
      <c r="E1749" s="8"/>
    </row>
    <row r="1750" spans="1:5" x14ac:dyDescent="0.25">
      <c r="A1750" s="1" t="s">
        <v>1735</v>
      </c>
      <c r="B1750" s="8">
        <v>46324</v>
      </c>
      <c r="C1750" s="8">
        <v>46135</v>
      </c>
      <c r="D1750" s="8">
        <v>45943</v>
      </c>
      <c r="E1750" s="8">
        <v>45776</v>
      </c>
    </row>
    <row r="1751" spans="1:5" x14ac:dyDescent="0.25">
      <c r="A1751" s="1" t="s">
        <v>1738</v>
      </c>
      <c r="B1751" s="8">
        <v>46210</v>
      </c>
      <c r="C1751" s="8">
        <v>46010</v>
      </c>
      <c r="D1751" s="8">
        <v>45875</v>
      </c>
      <c r="E1751" s="8">
        <v>45670</v>
      </c>
    </row>
    <row r="1752" spans="1:5" x14ac:dyDescent="0.25">
      <c r="A1752" s="1" t="s">
        <v>1742</v>
      </c>
      <c r="B1752" s="8">
        <v>46028</v>
      </c>
      <c r="C1752" s="8">
        <v>45885</v>
      </c>
      <c r="D1752" s="8">
        <v>45688</v>
      </c>
      <c r="E1752" s="8">
        <v>45513</v>
      </c>
    </row>
    <row r="1753" spans="1:5" x14ac:dyDescent="0.25">
      <c r="A1753" s="1" t="s">
        <v>1743</v>
      </c>
      <c r="B1753" s="8"/>
      <c r="C1753" s="8"/>
      <c r="D1753" s="8"/>
      <c r="E1753" s="8"/>
    </row>
    <row r="1754" spans="1:5" x14ac:dyDescent="0.25">
      <c r="A1754" s="1" t="s">
        <v>1744</v>
      </c>
      <c r="B1754" s="8">
        <v>46266</v>
      </c>
      <c r="C1754" s="8">
        <v>46104</v>
      </c>
      <c r="D1754" s="8">
        <v>45919</v>
      </c>
      <c r="E1754" s="8">
        <v>44957</v>
      </c>
    </row>
    <row r="1755" spans="1:5" x14ac:dyDescent="0.25">
      <c r="A1755" s="1" t="s">
        <v>1745</v>
      </c>
      <c r="B1755" s="8">
        <v>46017</v>
      </c>
      <c r="C1755" s="8">
        <v>45800</v>
      </c>
      <c r="D1755" s="8">
        <v>45617</v>
      </c>
      <c r="E1755" s="8">
        <v>45414</v>
      </c>
    </row>
    <row r="1756" spans="1:5" x14ac:dyDescent="0.25">
      <c r="A1756" s="1" t="s">
        <v>1748</v>
      </c>
      <c r="B1756" s="8">
        <v>46212</v>
      </c>
      <c r="C1756" s="8">
        <v>46028</v>
      </c>
      <c r="D1756" s="8">
        <v>45877</v>
      </c>
      <c r="E1756" s="8">
        <v>45688</v>
      </c>
    </row>
    <row r="1757" spans="1:5" x14ac:dyDescent="0.25">
      <c r="A1757" s="1" t="s">
        <v>1746</v>
      </c>
      <c r="B1757" s="8">
        <v>45563</v>
      </c>
      <c r="C1757" s="8">
        <v>45364</v>
      </c>
      <c r="D1757" s="8">
        <v>45187</v>
      </c>
      <c r="E1757" s="8">
        <v>45040</v>
      </c>
    </row>
    <row r="1758" spans="1:5" x14ac:dyDescent="0.25">
      <c r="A1758" s="1" t="s">
        <v>1747</v>
      </c>
      <c r="B1758" s="8">
        <v>46158</v>
      </c>
      <c r="C1758" s="8">
        <v>46003</v>
      </c>
      <c r="D1758" s="8">
        <v>45937</v>
      </c>
      <c r="E1758" s="8">
        <v>45845</v>
      </c>
    </row>
    <row r="1759" spans="1:5" x14ac:dyDescent="0.25">
      <c r="A1759" s="1" t="s">
        <v>1749</v>
      </c>
      <c r="B1759" s="8">
        <v>46157</v>
      </c>
      <c r="C1759" s="8">
        <v>46003</v>
      </c>
      <c r="D1759" s="8">
        <v>45845</v>
      </c>
      <c r="E1759" s="8">
        <v>45647</v>
      </c>
    </row>
    <row r="1760" spans="1:5" x14ac:dyDescent="0.25">
      <c r="A1760" s="1" t="s">
        <v>1750</v>
      </c>
      <c r="B1760" s="8">
        <v>45282</v>
      </c>
      <c r="C1760" s="8">
        <v>45190</v>
      </c>
      <c r="D1760" s="8">
        <v>45077</v>
      </c>
      <c r="E1760" s="8">
        <v>44856</v>
      </c>
    </row>
    <row r="1761" spans="1:5" x14ac:dyDescent="0.25">
      <c r="A1761" s="1" t="s">
        <v>1751</v>
      </c>
      <c r="B1761" s="8">
        <v>46274</v>
      </c>
      <c r="C1761" s="8">
        <v>46203</v>
      </c>
      <c r="D1761" s="8">
        <v>45869</v>
      </c>
      <c r="E1761" s="8">
        <v>45429</v>
      </c>
    </row>
    <row r="1762" spans="1:5" x14ac:dyDescent="0.25">
      <c r="A1762" s="1" t="s">
        <v>1752</v>
      </c>
      <c r="B1762" s="8">
        <v>46239</v>
      </c>
      <c r="C1762" s="8">
        <v>46083</v>
      </c>
      <c r="D1762" s="8">
        <v>45901</v>
      </c>
      <c r="E1762" s="8">
        <v>45694</v>
      </c>
    </row>
    <row r="1763" spans="1:5" x14ac:dyDescent="0.25">
      <c r="A1763" s="1" t="s">
        <v>1753</v>
      </c>
      <c r="B1763" s="8">
        <v>46205</v>
      </c>
      <c r="C1763" s="8">
        <v>46030</v>
      </c>
      <c r="D1763" s="8">
        <v>45846</v>
      </c>
      <c r="E1763" s="8">
        <v>45660</v>
      </c>
    </row>
    <row r="1764" spans="1:5" x14ac:dyDescent="0.25">
      <c r="A1764" s="1" t="s">
        <v>1754</v>
      </c>
      <c r="B1764" s="8">
        <v>45791</v>
      </c>
      <c r="C1764" s="8">
        <v>45610</v>
      </c>
      <c r="D1764" s="8">
        <v>45234</v>
      </c>
      <c r="E1764" s="8">
        <v>45049</v>
      </c>
    </row>
    <row r="1765" spans="1:5" x14ac:dyDescent="0.25">
      <c r="A1765" s="1" t="s">
        <v>1755</v>
      </c>
      <c r="B1765" s="8">
        <v>46319</v>
      </c>
      <c r="C1765" s="8">
        <v>46099</v>
      </c>
      <c r="D1765" s="8">
        <v>45967</v>
      </c>
      <c r="E1765" s="8">
        <v>45832</v>
      </c>
    </row>
    <row r="1766" spans="1:5" x14ac:dyDescent="0.25">
      <c r="A1766" s="1" t="s">
        <v>1756</v>
      </c>
      <c r="B1766" s="8">
        <v>46252</v>
      </c>
      <c r="C1766" s="8">
        <v>45982</v>
      </c>
      <c r="D1766" s="8">
        <v>45798</v>
      </c>
      <c r="E1766" s="8">
        <v>45630</v>
      </c>
    </row>
    <row r="1767" spans="1:5" x14ac:dyDescent="0.25">
      <c r="A1767" s="1" t="s">
        <v>1757</v>
      </c>
      <c r="B1767" s="8">
        <v>46272</v>
      </c>
      <c r="C1767" s="8">
        <v>46109</v>
      </c>
      <c r="D1767" s="8">
        <v>45943</v>
      </c>
      <c r="E1767" s="8">
        <v>45733</v>
      </c>
    </row>
    <row r="1768" spans="1:5" x14ac:dyDescent="0.25">
      <c r="A1768" s="1" t="s">
        <v>1758</v>
      </c>
      <c r="B1768" s="8">
        <v>46302</v>
      </c>
      <c r="C1768" s="8">
        <v>45715</v>
      </c>
      <c r="D1768" s="8">
        <v>45516</v>
      </c>
      <c r="E1768" s="8">
        <v>44959</v>
      </c>
    </row>
    <row r="1769" spans="1:5" x14ac:dyDescent="0.25">
      <c r="A1769" s="1" t="s">
        <v>1759</v>
      </c>
      <c r="B1769" s="8"/>
      <c r="C1769" s="8"/>
      <c r="D1769" s="8"/>
      <c r="E1769" s="8"/>
    </row>
    <row r="1770" spans="1:5" x14ac:dyDescent="0.25">
      <c r="A1770" s="1" t="s">
        <v>1760</v>
      </c>
      <c r="B1770" s="8">
        <v>46155</v>
      </c>
      <c r="C1770" s="8">
        <v>46026</v>
      </c>
      <c r="D1770" s="8">
        <v>45794</v>
      </c>
      <c r="E1770" s="8">
        <v>45630</v>
      </c>
    </row>
    <row r="1771" spans="1:5" x14ac:dyDescent="0.25">
      <c r="A1771" s="1" t="s">
        <v>1761</v>
      </c>
      <c r="B1771" s="8">
        <v>46133</v>
      </c>
      <c r="C1771" s="8">
        <v>45973</v>
      </c>
      <c r="D1771" s="8">
        <v>45814</v>
      </c>
      <c r="E1771" s="8">
        <v>45626</v>
      </c>
    </row>
    <row r="1772" spans="1:5" x14ac:dyDescent="0.25">
      <c r="A1772" s="1" t="s">
        <v>1762</v>
      </c>
      <c r="B1772" s="8"/>
      <c r="C1772" s="8"/>
      <c r="D1772" s="8"/>
      <c r="E1772" s="8"/>
    </row>
    <row r="1773" spans="1:5" x14ac:dyDescent="0.25">
      <c r="A1773" s="1" t="s">
        <v>1763</v>
      </c>
      <c r="B1773" s="8">
        <v>46212</v>
      </c>
      <c r="C1773" s="8">
        <v>46028</v>
      </c>
      <c r="D1773" s="8">
        <v>45885</v>
      </c>
      <c r="E1773" s="8">
        <v>45688</v>
      </c>
    </row>
    <row r="1774" spans="1:5" x14ac:dyDescent="0.25">
      <c r="A1774" s="1" t="s">
        <v>1764</v>
      </c>
      <c r="B1774" s="8">
        <v>46174</v>
      </c>
      <c r="C1774" s="8">
        <v>46008</v>
      </c>
      <c r="D1774" s="8">
        <v>45829</v>
      </c>
      <c r="E1774" s="8">
        <v>45649</v>
      </c>
    </row>
    <row r="1775" spans="1:5" x14ac:dyDescent="0.25">
      <c r="A1775" s="1" t="s">
        <v>1765</v>
      </c>
      <c r="B1775" s="8">
        <v>45296</v>
      </c>
      <c r="C1775" s="8">
        <v>44973</v>
      </c>
      <c r="D1775" s="8">
        <v>44739</v>
      </c>
      <c r="E1775" s="8"/>
    </row>
    <row r="1776" spans="1:5" x14ac:dyDescent="0.25">
      <c r="A1776" s="1" t="s">
        <v>1766</v>
      </c>
      <c r="B1776" s="8">
        <v>46150</v>
      </c>
      <c r="C1776" s="8">
        <v>45851</v>
      </c>
      <c r="D1776" s="8">
        <v>45834</v>
      </c>
      <c r="E1776" s="8">
        <v>45714</v>
      </c>
    </row>
    <row r="1777" spans="1:5" x14ac:dyDescent="0.25">
      <c r="A1777" s="1" t="s">
        <v>1767</v>
      </c>
      <c r="B1777" s="8">
        <v>46265</v>
      </c>
      <c r="C1777" s="8">
        <v>46043</v>
      </c>
      <c r="D1777" s="8">
        <v>45880</v>
      </c>
      <c r="E1777" s="8">
        <v>45663</v>
      </c>
    </row>
    <row r="1778" spans="1:5" x14ac:dyDescent="0.25">
      <c r="A1778" s="1" t="s">
        <v>1768</v>
      </c>
      <c r="B1778" s="8"/>
      <c r="C1778" s="8"/>
      <c r="D1778" s="8"/>
      <c r="E1778" s="8"/>
    </row>
    <row r="1779" spans="1:5" x14ac:dyDescent="0.25">
      <c r="A1779" s="1" t="s">
        <v>1769</v>
      </c>
      <c r="B1779" s="8"/>
      <c r="C1779" s="8"/>
      <c r="D1779" s="8"/>
      <c r="E1779" s="8"/>
    </row>
    <row r="1780" spans="1:5" x14ac:dyDescent="0.25">
      <c r="A1780" s="1" t="s">
        <v>1770</v>
      </c>
      <c r="B1780" s="8"/>
      <c r="C1780" s="8"/>
      <c r="D1780" s="8"/>
      <c r="E1780" s="8"/>
    </row>
    <row r="1781" spans="1:5" x14ac:dyDescent="0.25">
      <c r="A1781" s="1" t="s">
        <v>1771</v>
      </c>
      <c r="B1781" s="8"/>
      <c r="C1781" s="8"/>
      <c r="D1781" s="8"/>
      <c r="E1781" s="8"/>
    </row>
    <row r="1782" spans="1:5" x14ac:dyDescent="0.25">
      <c r="A1782" s="1" t="s">
        <v>1772</v>
      </c>
      <c r="B1782" s="8"/>
      <c r="C1782" s="8"/>
      <c r="D1782" s="8"/>
      <c r="E1782" s="8"/>
    </row>
    <row r="1783" spans="1:5" x14ac:dyDescent="0.25">
      <c r="A1783" s="1" t="s">
        <v>1773</v>
      </c>
      <c r="B1783" s="8">
        <v>46151</v>
      </c>
      <c r="C1783" s="8">
        <v>45995</v>
      </c>
      <c r="D1783" s="8">
        <v>45806</v>
      </c>
      <c r="E1783" s="8">
        <v>45637</v>
      </c>
    </row>
    <row r="1784" spans="1:5" x14ac:dyDescent="0.25">
      <c r="A1784" s="1" t="s">
        <v>1774</v>
      </c>
      <c r="B1784" s="8"/>
      <c r="C1784" s="8"/>
      <c r="D1784" s="8"/>
      <c r="E1784" s="8"/>
    </row>
    <row r="1785" spans="1:5" x14ac:dyDescent="0.25">
      <c r="A1785" s="1" t="s">
        <v>1775</v>
      </c>
      <c r="B1785" s="8"/>
      <c r="C1785" s="8"/>
      <c r="D1785" s="8"/>
      <c r="E1785" s="8"/>
    </row>
    <row r="1786" spans="1:5" x14ac:dyDescent="0.25">
      <c r="A1786" s="1" t="s">
        <v>1776</v>
      </c>
      <c r="B1786" s="8">
        <v>46302</v>
      </c>
      <c r="C1786" s="8">
        <v>46062</v>
      </c>
      <c r="D1786" s="8">
        <v>45936</v>
      </c>
      <c r="E1786" s="8">
        <v>45755</v>
      </c>
    </row>
    <row r="1787" spans="1:5" x14ac:dyDescent="0.25">
      <c r="A1787" s="1" t="s">
        <v>1777</v>
      </c>
      <c r="B1787" s="8"/>
      <c r="C1787" s="8"/>
      <c r="D1787" s="8"/>
      <c r="E1787" s="8"/>
    </row>
    <row r="1788" spans="1:5" x14ac:dyDescent="0.25">
      <c r="A1788" s="1" t="s">
        <v>1778</v>
      </c>
      <c r="B1788" s="8">
        <v>46206</v>
      </c>
      <c r="C1788" s="8">
        <v>46024</v>
      </c>
      <c r="D1788" s="8">
        <v>45856</v>
      </c>
      <c r="E1788" s="8">
        <v>45682</v>
      </c>
    </row>
    <row r="1789" spans="1:5" x14ac:dyDescent="0.25">
      <c r="A1789" s="1" t="s">
        <v>1779</v>
      </c>
      <c r="B1789" s="8"/>
      <c r="C1789" s="8"/>
      <c r="D1789" s="8"/>
      <c r="E1789" s="8"/>
    </row>
    <row r="1790" spans="1:5" x14ac:dyDescent="0.25">
      <c r="A1790" s="1" t="s">
        <v>1780</v>
      </c>
      <c r="B1790" s="8"/>
      <c r="C1790" s="8"/>
      <c r="D1790" s="8"/>
      <c r="E1790" s="8"/>
    </row>
    <row r="1791" spans="1:5" x14ac:dyDescent="0.25">
      <c r="A1791" s="1" t="s">
        <v>1781</v>
      </c>
      <c r="B1791" s="8">
        <v>46244</v>
      </c>
      <c r="C1791" s="8">
        <v>45911</v>
      </c>
      <c r="D1791" s="8">
        <v>45695</v>
      </c>
      <c r="E1791" s="8">
        <v>45577</v>
      </c>
    </row>
    <row r="1792" spans="1:5" x14ac:dyDescent="0.25">
      <c r="A1792" s="1" t="s">
        <v>1782</v>
      </c>
      <c r="B1792" s="8">
        <v>46112</v>
      </c>
      <c r="C1792" s="8">
        <v>45906</v>
      </c>
      <c r="D1792" s="8">
        <v>45780</v>
      </c>
      <c r="E1792" s="8"/>
    </row>
    <row r="1793" spans="1:5" x14ac:dyDescent="0.25">
      <c r="A1793" s="1" t="s">
        <v>1783</v>
      </c>
      <c r="B1793" s="8">
        <v>46317</v>
      </c>
      <c r="C1793" s="8">
        <v>46149</v>
      </c>
      <c r="D1793" s="8">
        <v>45925</v>
      </c>
      <c r="E1793" s="8">
        <v>45920</v>
      </c>
    </row>
    <row r="1794" spans="1:5" x14ac:dyDescent="0.25">
      <c r="A1794" s="1" t="s">
        <v>1784</v>
      </c>
      <c r="B1794" s="8">
        <v>46295</v>
      </c>
      <c r="C1794" s="8">
        <v>46155</v>
      </c>
      <c r="D1794" s="8">
        <v>46014</v>
      </c>
      <c r="E1794" s="8">
        <v>45779</v>
      </c>
    </row>
    <row r="1795" spans="1:5" x14ac:dyDescent="0.25">
      <c r="A1795" s="1" t="s">
        <v>1785</v>
      </c>
      <c r="B1795" s="8"/>
      <c r="C1795" s="8"/>
      <c r="D1795" s="8"/>
      <c r="E1795" s="8"/>
    </row>
    <row r="1796" spans="1:5" x14ac:dyDescent="0.25">
      <c r="A1796" s="1" t="s">
        <v>1786</v>
      </c>
      <c r="B1796" s="8">
        <v>46260</v>
      </c>
      <c r="C1796" s="8">
        <v>46060</v>
      </c>
      <c r="D1796" s="8">
        <v>45864</v>
      </c>
      <c r="E1796" s="8">
        <v>45693</v>
      </c>
    </row>
    <row r="1797" spans="1:5" x14ac:dyDescent="0.25">
      <c r="A1797" s="1" t="s">
        <v>1787</v>
      </c>
      <c r="B1797" s="8">
        <v>46303</v>
      </c>
      <c r="C1797" s="8">
        <v>46105</v>
      </c>
      <c r="D1797" s="8">
        <v>45920</v>
      </c>
      <c r="E1797" s="8">
        <v>45628</v>
      </c>
    </row>
    <row r="1798" spans="1:5" x14ac:dyDescent="0.25">
      <c r="A1798" s="1" t="s">
        <v>1788</v>
      </c>
      <c r="B1798" s="8">
        <v>46156</v>
      </c>
      <c r="C1798" s="8">
        <v>46134</v>
      </c>
      <c r="D1798" s="8">
        <v>45964</v>
      </c>
      <c r="E1798" s="8">
        <v>45818</v>
      </c>
    </row>
    <row r="1799" spans="1:5" x14ac:dyDescent="0.25">
      <c r="A1799" s="1" t="s">
        <v>1789</v>
      </c>
      <c r="B1799" s="8"/>
      <c r="C1799" s="8"/>
      <c r="D1799" s="8"/>
      <c r="E1799" s="8"/>
    </row>
    <row r="1800" spans="1:5" x14ac:dyDescent="0.25">
      <c r="A1800" s="1" t="s">
        <v>1790</v>
      </c>
      <c r="B1800" s="8"/>
      <c r="C1800" s="8"/>
      <c r="D1800" s="8"/>
      <c r="E1800" s="8"/>
    </row>
    <row r="1801" spans="1:5" x14ac:dyDescent="0.25">
      <c r="A1801" s="1" t="s">
        <v>1791</v>
      </c>
      <c r="B1801" s="8"/>
      <c r="C1801" s="8"/>
      <c r="D1801" s="8"/>
      <c r="E1801" s="8"/>
    </row>
    <row r="1802" spans="1:5" x14ac:dyDescent="0.25">
      <c r="A1802" s="1" t="s">
        <v>1792</v>
      </c>
      <c r="B1802" s="8"/>
      <c r="C1802" s="8"/>
      <c r="D1802" s="8"/>
      <c r="E1802" s="8"/>
    </row>
    <row r="1803" spans="1:5" x14ac:dyDescent="0.25">
      <c r="A1803" s="1" t="s">
        <v>1793</v>
      </c>
      <c r="B1803" s="8">
        <v>46171</v>
      </c>
      <c r="C1803" s="8">
        <v>46017</v>
      </c>
      <c r="D1803" s="8">
        <v>45863</v>
      </c>
      <c r="E1803" s="8">
        <v>45636</v>
      </c>
    </row>
    <row r="1804" spans="1:5" x14ac:dyDescent="0.25">
      <c r="A1804" s="1" t="s">
        <v>1794</v>
      </c>
      <c r="B1804" s="8"/>
      <c r="C1804" s="8"/>
      <c r="D1804" s="8"/>
      <c r="E1804" s="8"/>
    </row>
    <row r="1805" spans="1:5" x14ac:dyDescent="0.25">
      <c r="A1805" s="1" t="s">
        <v>1795</v>
      </c>
      <c r="B1805" s="8">
        <v>46106</v>
      </c>
      <c r="C1805" s="8">
        <v>45950</v>
      </c>
      <c r="D1805" s="8">
        <v>45744</v>
      </c>
      <c r="E1805" s="8">
        <v>45553</v>
      </c>
    </row>
    <row r="1806" spans="1:5" x14ac:dyDescent="0.25">
      <c r="A1806" s="1" t="s">
        <v>1796</v>
      </c>
      <c r="B1806" s="8">
        <v>46149</v>
      </c>
      <c r="C1806" s="8">
        <v>45972</v>
      </c>
      <c r="D1806" s="8">
        <v>45763</v>
      </c>
      <c r="E1806" s="8">
        <v>45607</v>
      </c>
    </row>
    <row r="1807" spans="1:5" x14ac:dyDescent="0.25">
      <c r="A1807" s="1" t="s">
        <v>1798</v>
      </c>
      <c r="B1807" s="8">
        <v>46169</v>
      </c>
      <c r="C1807" s="8">
        <v>45995</v>
      </c>
      <c r="D1807" s="8">
        <v>45631</v>
      </c>
      <c r="E1807" s="8">
        <v>45224</v>
      </c>
    </row>
    <row r="1808" spans="1:5" x14ac:dyDescent="0.25">
      <c r="A1808" s="1" t="s">
        <v>1797</v>
      </c>
      <c r="B1808" s="8">
        <v>46181</v>
      </c>
      <c r="C1808" s="8">
        <v>45985</v>
      </c>
      <c r="D1808" s="8">
        <v>45780</v>
      </c>
      <c r="E1808" s="8">
        <v>45607</v>
      </c>
    </row>
    <row r="1809" spans="1:5" x14ac:dyDescent="0.25">
      <c r="A1809" s="1" t="s">
        <v>1799</v>
      </c>
      <c r="B1809" s="8"/>
      <c r="C1809" s="8"/>
      <c r="D1809" s="8"/>
      <c r="E1809" s="8"/>
    </row>
    <row r="1810" spans="1:5" x14ac:dyDescent="0.25">
      <c r="A1810" s="1" t="s">
        <v>1800</v>
      </c>
      <c r="B1810" s="8">
        <v>46257</v>
      </c>
      <c r="C1810" s="8">
        <v>46036</v>
      </c>
      <c r="D1810" s="8">
        <v>45875</v>
      </c>
      <c r="E1810" s="8">
        <v>45712</v>
      </c>
    </row>
    <row r="1811" spans="1:5" x14ac:dyDescent="0.25">
      <c r="A1811" s="1" t="s">
        <v>1806</v>
      </c>
      <c r="B1811" s="8"/>
      <c r="C1811" s="8"/>
      <c r="D1811" s="8"/>
      <c r="E1811" s="8"/>
    </row>
    <row r="1812" spans="1:5" x14ac:dyDescent="0.25">
      <c r="A1812" s="1" t="s">
        <v>1807</v>
      </c>
      <c r="B1812" s="8">
        <v>45737</v>
      </c>
      <c r="C1812" s="8">
        <v>45409</v>
      </c>
      <c r="D1812" s="8">
        <v>45319</v>
      </c>
      <c r="E1812" s="8"/>
    </row>
    <row r="1813" spans="1:5" x14ac:dyDescent="0.25">
      <c r="A1813" s="1" t="s">
        <v>1805</v>
      </c>
      <c r="B1813" s="8">
        <v>46272</v>
      </c>
      <c r="C1813" s="8">
        <v>46063</v>
      </c>
      <c r="D1813" s="8">
        <v>45882</v>
      </c>
      <c r="E1813" s="8">
        <v>45716</v>
      </c>
    </row>
    <row r="1814" spans="1:5" x14ac:dyDescent="0.25">
      <c r="A1814" s="1" t="s">
        <v>1804</v>
      </c>
      <c r="B1814" s="8">
        <v>46284</v>
      </c>
      <c r="C1814" s="8">
        <v>46136</v>
      </c>
      <c r="D1814" s="8">
        <v>45931</v>
      </c>
      <c r="E1814" s="8">
        <v>45743</v>
      </c>
    </row>
    <row r="1815" spans="1:5" x14ac:dyDescent="0.25">
      <c r="A1815" s="1" t="s">
        <v>1802</v>
      </c>
      <c r="B1815" s="8">
        <v>44819</v>
      </c>
      <c r="C1815" s="8"/>
      <c r="D1815" s="8"/>
      <c r="E1815" s="8"/>
    </row>
    <row r="1816" spans="1:5" x14ac:dyDescent="0.25">
      <c r="A1816" s="1" t="s">
        <v>1801</v>
      </c>
      <c r="B1816" s="8"/>
      <c r="C1816" s="8"/>
      <c r="D1816" s="8"/>
      <c r="E1816" s="8"/>
    </row>
    <row r="1817" spans="1:5" x14ac:dyDescent="0.25">
      <c r="A1817" s="1" t="s">
        <v>1808</v>
      </c>
      <c r="B1817" s="8">
        <v>46148</v>
      </c>
      <c r="C1817" s="8">
        <v>45985</v>
      </c>
      <c r="D1817" s="8">
        <v>45799</v>
      </c>
      <c r="E1817" s="8">
        <v>45621</v>
      </c>
    </row>
    <row r="1818" spans="1:5" x14ac:dyDescent="0.25">
      <c r="A1818" s="1" t="s">
        <v>1803</v>
      </c>
      <c r="B1818" s="8">
        <v>45080</v>
      </c>
      <c r="C1818" s="8">
        <v>44867</v>
      </c>
      <c r="D1818" s="8"/>
      <c r="E1818" s="8"/>
    </row>
    <row r="1819" spans="1:5" x14ac:dyDescent="0.25">
      <c r="A1819" s="1" t="s">
        <v>1809</v>
      </c>
      <c r="B1819" s="8">
        <v>46129</v>
      </c>
      <c r="C1819" s="8">
        <v>45967</v>
      </c>
      <c r="D1819" s="8">
        <v>45775</v>
      </c>
      <c r="E1819" s="8">
        <v>45622</v>
      </c>
    </row>
    <row r="1820" spans="1:5" x14ac:dyDescent="0.25">
      <c r="A1820" s="1" t="s">
        <v>1810</v>
      </c>
      <c r="B1820" s="8">
        <v>45055</v>
      </c>
      <c r="C1820" s="8">
        <v>44867</v>
      </c>
      <c r="D1820" s="8">
        <v>44793</v>
      </c>
      <c r="E1820" s="8"/>
    </row>
    <row r="1821" spans="1:5" x14ac:dyDescent="0.25">
      <c r="A1821" s="1" t="s">
        <v>1812</v>
      </c>
      <c r="B1821" s="8"/>
      <c r="C1821" s="8"/>
      <c r="D1821" s="8"/>
      <c r="E1821" s="8"/>
    </row>
    <row r="1822" spans="1:5" x14ac:dyDescent="0.25">
      <c r="A1822" s="1" t="s">
        <v>1811</v>
      </c>
      <c r="B1822" s="8"/>
      <c r="C1822" s="8"/>
      <c r="D1822" s="8"/>
      <c r="E1822" s="8"/>
    </row>
    <row r="1823" spans="1:5" x14ac:dyDescent="0.25">
      <c r="A1823" s="1" t="s">
        <v>1813</v>
      </c>
      <c r="B1823" s="8"/>
      <c r="C1823" s="8"/>
      <c r="D1823" s="8"/>
      <c r="E1823" s="8"/>
    </row>
    <row r="1824" spans="1:5" x14ac:dyDescent="0.25">
      <c r="A1824" s="1" t="s">
        <v>1814</v>
      </c>
      <c r="B1824" s="8">
        <v>46195</v>
      </c>
      <c r="C1824" s="8">
        <v>45999</v>
      </c>
      <c r="D1824" s="8">
        <v>45819</v>
      </c>
      <c r="E1824" s="8">
        <v>45645</v>
      </c>
    </row>
    <row r="1825" spans="1:5" x14ac:dyDescent="0.25">
      <c r="A1825" s="1" t="s">
        <v>1815</v>
      </c>
      <c r="B1825" s="8">
        <v>46155</v>
      </c>
      <c r="C1825" s="8">
        <v>46014</v>
      </c>
      <c r="D1825" s="8">
        <v>45779</v>
      </c>
      <c r="E1825" s="8">
        <v>45629</v>
      </c>
    </row>
    <row r="1826" spans="1:5" x14ac:dyDescent="0.25">
      <c r="A1826" s="1" t="s">
        <v>1817</v>
      </c>
      <c r="B1826" s="8"/>
      <c r="C1826" s="8"/>
      <c r="D1826" s="8"/>
      <c r="E1826" s="8"/>
    </row>
    <row r="1827" spans="1:5" x14ac:dyDescent="0.25">
      <c r="A1827" s="1" t="s">
        <v>1816</v>
      </c>
      <c r="B1827" s="8"/>
      <c r="C1827" s="8"/>
      <c r="D1827" s="8"/>
      <c r="E1827" s="8"/>
    </row>
    <row r="1828" spans="1:5" x14ac:dyDescent="0.25">
      <c r="A1828" s="1" t="s">
        <v>1818</v>
      </c>
      <c r="B1828" s="8">
        <v>46240</v>
      </c>
      <c r="C1828" s="8">
        <v>46042</v>
      </c>
      <c r="D1828" s="8">
        <v>45894</v>
      </c>
      <c r="E1828" s="8">
        <v>45755</v>
      </c>
    </row>
    <row r="1829" spans="1:5" x14ac:dyDescent="0.25">
      <c r="A1829" s="1" t="s">
        <v>1820</v>
      </c>
      <c r="B1829" s="8">
        <v>46183</v>
      </c>
      <c r="C1829" s="8">
        <v>46030</v>
      </c>
      <c r="D1829" s="8">
        <v>45783</v>
      </c>
      <c r="E1829" s="8">
        <v>45647</v>
      </c>
    </row>
    <row r="1830" spans="1:5" x14ac:dyDescent="0.25">
      <c r="A1830" s="1" t="s">
        <v>1819</v>
      </c>
      <c r="B1830" s="8">
        <v>45911</v>
      </c>
      <c r="C1830" s="8">
        <v>45419</v>
      </c>
      <c r="D1830" s="8">
        <v>45122</v>
      </c>
      <c r="E1830" s="8"/>
    </row>
    <row r="1831" spans="1:5" x14ac:dyDescent="0.25">
      <c r="A1831" s="1" t="s">
        <v>1822</v>
      </c>
      <c r="B1831" s="8"/>
      <c r="C1831" s="8"/>
      <c r="D1831" s="8"/>
      <c r="E1831" s="8"/>
    </row>
    <row r="1832" spans="1:5" x14ac:dyDescent="0.25">
      <c r="A1832" s="1" t="s">
        <v>1821</v>
      </c>
      <c r="B1832" s="8">
        <v>45140</v>
      </c>
      <c r="C1832" s="8"/>
      <c r="D1832" s="8"/>
      <c r="E1832" s="8"/>
    </row>
    <row r="1833" spans="1:5" x14ac:dyDescent="0.25">
      <c r="A1833" s="1" t="s">
        <v>1823</v>
      </c>
      <c r="B1833" s="8"/>
      <c r="C1833" s="8"/>
      <c r="D1833" s="8"/>
      <c r="E1833" s="8"/>
    </row>
    <row r="1834" spans="1:5" x14ac:dyDescent="0.25">
      <c r="A1834" s="1" t="s">
        <v>1825</v>
      </c>
      <c r="B1834" s="8"/>
      <c r="C1834" s="8"/>
      <c r="D1834" s="8"/>
      <c r="E1834" s="8"/>
    </row>
    <row r="1835" spans="1:5" x14ac:dyDescent="0.25">
      <c r="A1835" s="1" t="s">
        <v>1824</v>
      </c>
      <c r="B1835" s="8">
        <v>46051</v>
      </c>
      <c r="C1835" s="8">
        <v>45860</v>
      </c>
      <c r="D1835" s="8"/>
      <c r="E1835" s="8"/>
    </row>
    <row r="1836" spans="1:5" x14ac:dyDescent="0.25">
      <c r="A1836" s="1" t="s">
        <v>1827</v>
      </c>
      <c r="B1836" s="8"/>
      <c r="C1836" s="8"/>
      <c r="D1836" s="8"/>
      <c r="E1836" s="8"/>
    </row>
    <row r="1837" spans="1:5" x14ac:dyDescent="0.25">
      <c r="A1837" s="1" t="s">
        <v>1826</v>
      </c>
      <c r="B1837" s="8">
        <v>46238</v>
      </c>
      <c r="C1837" s="8">
        <v>46045</v>
      </c>
      <c r="D1837" s="8">
        <v>45810</v>
      </c>
      <c r="E1837" s="8">
        <v>45664</v>
      </c>
    </row>
    <row r="1838" spans="1:5" x14ac:dyDescent="0.25">
      <c r="A1838" s="1" t="s">
        <v>1828</v>
      </c>
      <c r="B1838" s="8"/>
      <c r="C1838" s="8"/>
      <c r="D1838" s="8"/>
      <c r="E1838" s="8"/>
    </row>
    <row r="1839" spans="1:5" x14ac:dyDescent="0.25">
      <c r="A1839" s="1" t="s">
        <v>1829</v>
      </c>
      <c r="B1839" s="8">
        <v>46282</v>
      </c>
      <c r="C1839" s="8">
        <v>46094</v>
      </c>
      <c r="D1839" s="8">
        <v>45833</v>
      </c>
      <c r="E1839" s="8">
        <v>45646</v>
      </c>
    </row>
    <row r="1840" spans="1:5" x14ac:dyDescent="0.25">
      <c r="A1840" s="1" t="s">
        <v>1830</v>
      </c>
      <c r="B1840" s="8">
        <v>46317</v>
      </c>
      <c r="C1840" s="8">
        <v>46141</v>
      </c>
      <c r="D1840" s="8">
        <v>45945</v>
      </c>
      <c r="E1840" s="8">
        <v>45693</v>
      </c>
    </row>
    <row r="1841" spans="1:5" x14ac:dyDescent="0.25">
      <c r="A1841" s="1" t="s">
        <v>1831</v>
      </c>
      <c r="B1841" s="8">
        <v>45469</v>
      </c>
      <c r="C1841" s="8"/>
      <c r="D1841" s="8"/>
      <c r="E1841" s="8"/>
    </row>
    <row r="1842" spans="1:5" x14ac:dyDescent="0.25">
      <c r="A1842" s="1" t="s">
        <v>1832</v>
      </c>
      <c r="B1842" s="8">
        <v>46028</v>
      </c>
      <c r="C1842" s="8">
        <v>45885</v>
      </c>
      <c r="D1842" s="8">
        <v>45688</v>
      </c>
      <c r="E1842" s="8">
        <v>45513</v>
      </c>
    </row>
    <row r="1843" spans="1:5" x14ac:dyDescent="0.25">
      <c r="A1843" s="1" t="s">
        <v>1833</v>
      </c>
      <c r="B1843" s="8"/>
      <c r="C1843" s="8"/>
      <c r="D1843" s="8"/>
      <c r="E1843" s="8"/>
    </row>
    <row r="1844" spans="1:5" x14ac:dyDescent="0.25">
      <c r="A1844" s="1" t="s">
        <v>1835</v>
      </c>
      <c r="B1844" s="8"/>
      <c r="C1844" s="8"/>
      <c r="D1844" s="8"/>
      <c r="E1844" s="8"/>
    </row>
    <row r="1845" spans="1:5" x14ac:dyDescent="0.25">
      <c r="A1845" s="1" t="s">
        <v>1834</v>
      </c>
      <c r="B1845" s="8">
        <v>46255</v>
      </c>
      <c r="C1845" s="8">
        <v>46063</v>
      </c>
      <c r="D1845" s="8">
        <v>45873</v>
      </c>
      <c r="E1845" s="8">
        <v>45716</v>
      </c>
    </row>
    <row r="1846" spans="1:5" x14ac:dyDescent="0.25">
      <c r="A1846" s="1" t="s">
        <v>1836</v>
      </c>
      <c r="B1846" s="8"/>
      <c r="C1846" s="8"/>
      <c r="D1846" s="8"/>
      <c r="E1846" s="8"/>
    </row>
    <row r="1847" spans="1:5" x14ac:dyDescent="0.25">
      <c r="A1847" s="1" t="s">
        <v>1837</v>
      </c>
      <c r="B1847" s="8">
        <v>46069</v>
      </c>
      <c r="C1847" s="8">
        <v>45866</v>
      </c>
      <c r="D1847" s="8">
        <v>45714</v>
      </c>
      <c r="E1847" s="8">
        <v>45450</v>
      </c>
    </row>
    <row r="1848" spans="1:5" x14ac:dyDescent="0.25">
      <c r="A1848" s="1" t="s">
        <v>1838</v>
      </c>
      <c r="B1848" s="8">
        <v>46202</v>
      </c>
      <c r="C1848" s="8">
        <v>45736</v>
      </c>
      <c r="D1848" s="8">
        <v>45422</v>
      </c>
      <c r="E1848" s="8">
        <v>45076</v>
      </c>
    </row>
    <row r="1849" spans="1:5" x14ac:dyDescent="0.25">
      <c r="A1849" s="1" t="s">
        <v>1839</v>
      </c>
      <c r="B1849" s="8">
        <v>46157</v>
      </c>
      <c r="C1849" s="8">
        <v>46127</v>
      </c>
      <c r="D1849" s="8">
        <v>45915</v>
      </c>
      <c r="E1849" s="8">
        <v>45722</v>
      </c>
    </row>
    <row r="1850" spans="1:5" x14ac:dyDescent="0.25">
      <c r="A1850" s="1" t="s">
        <v>1840</v>
      </c>
      <c r="B1850" s="8"/>
      <c r="C1850" s="8"/>
      <c r="D1850" s="8"/>
      <c r="E1850" s="8"/>
    </row>
    <row r="1851" spans="1:5" x14ac:dyDescent="0.25">
      <c r="A1851" s="1" t="s">
        <v>1841</v>
      </c>
      <c r="B1851" s="8"/>
      <c r="C1851" s="8"/>
      <c r="D1851" s="8"/>
      <c r="E1851" s="8"/>
    </row>
    <row r="1852" spans="1:5" x14ac:dyDescent="0.25">
      <c r="A1852" s="1" t="s">
        <v>1842</v>
      </c>
      <c r="B1852" s="8"/>
      <c r="C1852" s="8"/>
      <c r="D1852" s="8"/>
      <c r="E1852" s="8"/>
    </row>
    <row r="1853" spans="1:5" x14ac:dyDescent="0.25">
      <c r="A1853" s="1" t="s">
        <v>1843</v>
      </c>
      <c r="B1853" s="8"/>
      <c r="C1853" s="8"/>
      <c r="D1853" s="8"/>
      <c r="E1853" s="8"/>
    </row>
    <row r="1854" spans="1:5" x14ac:dyDescent="0.25">
      <c r="A1854" s="1" t="s">
        <v>1844</v>
      </c>
      <c r="B1854" s="8">
        <v>45082</v>
      </c>
      <c r="C1854" s="8">
        <v>44823</v>
      </c>
      <c r="D1854" s="8">
        <v>44688</v>
      </c>
      <c r="E1854" s="8"/>
    </row>
    <row r="1855" spans="1:5" x14ac:dyDescent="0.25">
      <c r="A1855" s="1" t="s">
        <v>1845</v>
      </c>
      <c r="B1855" s="8"/>
      <c r="C1855" s="8"/>
      <c r="D1855" s="8"/>
      <c r="E1855" s="8"/>
    </row>
    <row r="1856" spans="1:5" x14ac:dyDescent="0.25">
      <c r="A1856" s="1" t="s">
        <v>1846</v>
      </c>
      <c r="B1856" s="8">
        <v>46069</v>
      </c>
      <c r="C1856" s="8">
        <v>45860</v>
      </c>
      <c r="D1856" s="8">
        <v>45693</v>
      </c>
      <c r="E1856" s="8">
        <v>45509</v>
      </c>
    </row>
    <row r="1857" spans="1:5" x14ac:dyDescent="0.25">
      <c r="A1857" s="1" t="s">
        <v>1848</v>
      </c>
      <c r="B1857" s="8"/>
      <c r="C1857" s="8"/>
      <c r="D1857" s="8"/>
      <c r="E1857" s="8"/>
    </row>
    <row r="1858" spans="1:5" x14ac:dyDescent="0.25">
      <c r="A1858" s="1" t="s">
        <v>1849</v>
      </c>
      <c r="B1858" s="8"/>
      <c r="C1858" s="8"/>
      <c r="D1858" s="8"/>
      <c r="E1858" s="8"/>
    </row>
    <row r="1859" spans="1:5" x14ac:dyDescent="0.25">
      <c r="A1859" s="1" t="s">
        <v>1850</v>
      </c>
      <c r="B1859" s="8"/>
      <c r="C1859" s="8"/>
      <c r="D1859" s="8"/>
      <c r="E1859" s="8"/>
    </row>
    <row r="1860" spans="1:5" x14ac:dyDescent="0.25">
      <c r="A1860" s="1" t="s">
        <v>1847</v>
      </c>
      <c r="B1860" s="8"/>
      <c r="C1860" s="8"/>
      <c r="D1860" s="8"/>
      <c r="E1860" s="8"/>
    </row>
    <row r="1861" spans="1:5" x14ac:dyDescent="0.25">
      <c r="A1861" s="1" t="s">
        <v>1851</v>
      </c>
      <c r="B1861" s="8"/>
      <c r="C1861" s="8"/>
      <c r="D1861" s="8"/>
      <c r="E1861" s="8"/>
    </row>
    <row r="1862" spans="1:5" x14ac:dyDescent="0.25">
      <c r="A1862" s="1" t="s">
        <v>1853</v>
      </c>
      <c r="B1862" s="8">
        <v>45911</v>
      </c>
      <c r="C1862" s="8">
        <v>45744</v>
      </c>
      <c r="D1862" s="8">
        <v>45230</v>
      </c>
      <c r="E1862" s="8">
        <v>45021</v>
      </c>
    </row>
    <row r="1863" spans="1:5" x14ac:dyDescent="0.25">
      <c r="A1863" s="1" t="s">
        <v>1852</v>
      </c>
      <c r="B1863" s="8">
        <v>46238</v>
      </c>
      <c r="C1863" s="8">
        <v>46062</v>
      </c>
      <c r="D1863" s="8">
        <v>45871</v>
      </c>
      <c r="E1863" s="8">
        <v>45705</v>
      </c>
    </row>
    <row r="1864" spans="1:5" x14ac:dyDescent="0.25">
      <c r="A1864" s="1" t="s">
        <v>1854</v>
      </c>
      <c r="B1864" s="8">
        <v>46146</v>
      </c>
      <c r="C1864" s="8">
        <v>46053</v>
      </c>
      <c r="D1864" s="8">
        <v>45805</v>
      </c>
      <c r="E1864" s="8">
        <v>45702</v>
      </c>
    </row>
    <row r="1865" spans="1:5" x14ac:dyDescent="0.25">
      <c r="A1865" s="1" t="s">
        <v>1855</v>
      </c>
      <c r="B1865" s="8"/>
      <c r="C1865" s="8"/>
      <c r="D1865" s="8"/>
      <c r="E1865" s="8"/>
    </row>
    <row r="1866" spans="1:5" x14ac:dyDescent="0.25">
      <c r="A1866" s="1" t="s">
        <v>1856</v>
      </c>
      <c r="B1866" s="8"/>
      <c r="C1866" s="8"/>
      <c r="D1866" s="8"/>
      <c r="E1866" s="8"/>
    </row>
    <row r="1867" spans="1:5" x14ac:dyDescent="0.25">
      <c r="A1867" s="1" t="s">
        <v>1857</v>
      </c>
      <c r="B1867" s="8"/>
      <c r="C1867" s="8"/>
      <c r="D1867" s="8"/>
      <c r="E1867" s="8"/>
    </row>
    <row r="1868" spans="1:5" x14ac:dyDescent="0.25">
      <c r="A1868" s="1" t="s">
        <v>1858</v>
      </c>
      <c r="B1868" s="8">
        <v>45881</v>
      </c>
      <c r="C1868" s="8">
        <v>45631</v>
      </c>
      <c r="D1868" s="8">
        <v>45458</v>
      </c>
      <c r="E1868" s="8">
        <v>45253</v>
      </c>
    </row>
    <row r="1869" spans="1:5" x14ac:dyDescent="0.25">
      <c r="A1869" s="1" t="s">
        <v>1861</v>
      </c>
      <c r="B1869" s="8">
        <v>46259</v>
      </c>
      <c r="C1869" s="8">
        <v>46146</v>
      </c>
      <c r="D1869" s="8">
        <v>45875</v>
      </c>
      <c r="E1869" s="8">
        <v>45709</v>
      </c>
    </row>
    <row r="1870" spans="1:5" x14ac:dyDescent="0.25">
      <c r="A1870" s="1" t="s">
        <v>1859</v>
      </c>
      <c r="B1870" s="8">
        <v>46260</v>
      </c>
      <c r="C1870" s="8">
        <v>46111</v>
      </c>
      <c r="D1870" s="8">
        <v>45888</v>
      </c>
      <c r="E1870" s="8">
        <v>45873</v>
      </c>
    </row>
    <row r="1871" spans="1:5" x14ac:dyDescent="0.25">
      <c r="A1871" s="1" t="s">
        <v>1860</v>
      </c>
      <c r="B1871" s="8">
        <v>46259</v>
      </c>
      <c r="C1871" s="8">
        <v>46111</v>
      </c>
      <c r="D1871" s="8">
        <v>45912</v>
      </c>
      <c r="E1871" s="8">
        <v>45691</v>
      </c>
    </row>
    <row r="1872" spans="1:5" x14ac:dyDescent="0.25">
      <c r="A1872" s="1" t="s">
        <v>1862</v>
      </c>
      <c r="B1872" s="8">
        <v>44965</v>
      </c>
      <c r="C1872" s="8"/>
      <c r="D1872" s="8"/>
      <c r="E1872" s="8"/>
    </row>
    <row r="1873" spans="1:5" x14ac:dyDescent="0.25">
      <c r="A1873" s="1" t="s">
        <v>1863</v>
      </c>
      <c r="B1873" s="8">
        <v>46151</v>
      </c>
      <c r="C1873" s="8">
        <v>45995</v>
      </c>
      <c r="D1873" s="8">
        <v>45805</v>
      </c>
      <c r="E1873" s="8">
        <v>45637</v>
      </c>
    </row>
    <row r="1874" spans="1:5" x14ac:dyDescent="0.25">
      <c r="A1874" s="1" t="s">
        <v>1864</v>
      </c>
      <c r="B1874" s="8">
        <v>46270</v>
      </c>
      <c r="C1874" s="8"/>
      <c r="D1874" s="8"/>
      <c r="E1874" s="8"/>
    </row>
    <row r="1875" spans="1:5" x14ac:dyDescent="0.25">
      <c r="A1875" s="1" t="s">
        <v>1865</v>
      </c>
      <c r="B1875" s="8">
        <v>46225</v>
      </c>
      <c r="C1875" s="8">
        <v>46017</v>
      </c>
      <c r="D1875" s="8">
        <v>45842</v>
      </c>
      <c r="E1875" s="8">
        <v>45635</v>
      </c>
    </row>
    <row r="1876" spans="1:5" x14ac:dyDescent="0.25">
      <c r="A1876" s="1" t="s">
        <v>1866</v>
      </c>
      <c r="B1876" s="8">
        <v>46199</v>
      </c>
      <c r="C1876" s="8">
        <v>45993</v>
      </c>
      <c r="D1876" s="8">
        <v>45831</v>
      </c>
      <c r="E1876" s="8">
        <v>45567</v>
      </c>
    </row>
    <row r="1877" spans="1:5" x14ac:dyDescent="0.25">
      <c r="A1877" s="1" t="s">
        <v>1867</v>
      </c>
      <c r="B1877" s="8"/>
      <c r="C1877" s="8"/>
      <c r="D1877" s="8"/>
      <c r="E1877" s="8"/>
    </row>
    <row r="1878" spans="1:5" x14ac:dyDescent="0.25">
      <c r="A1878" s="1" t="s">
        <v>1868</v>
      </c>
      <c r="B1878" s="8">
        <v>46238</v>
      </c>
      <c r="C1878" s="8">
        <v>46098</v>
      </c>
      <c r="D1878" s="8">
        <v>45866</v>
      </c>
      <c r="E1878" s="8">
        <v>45714</v>
      </c>
    </row>
    <row r="1879" spans="1:5" x14ac:dyDescent="0.25">
      <c r="A1879" s="1" t="s">
        <v>1869</v>
      </c>
      <c r="B1879" s="8">
        <v>46225</v>
      </c>
      <c r="C1879" s="8">
        <v>46017</v>
      </c>
      <c r="D1879" s="8">
        <v>45841</v>
      </c>
      <c r="E1879" s="8">
        <v>45635</v>
      </c>
    </row>
    <row r="1880" spans="1:5" x14ac:dyDescent="0.25">
      <c r="A1880" s="1" t="s">
        <v>1870</v>
      </c>
      <c r="B1880" s="8">
        <v>46202</v>
      </c>
      <c r="C1880" s="8">
        <v>45967</v>
      </c>
      <c r="D1880" s="8">
        <v>45927</v>
      </c>
      <c r="E1880" s="8">
        <v>45589</v>
      </c>
    </row>
    <row r="1881" spans="1:5" x14ac:dyDescent="0.25">
      <c r="A1881" s="1" t="s">
        <v>1871</v>
      </c>
      <c r="B1881" s="8">
        <v>45316</v>
      </c>
      <c r="C1881" s="8">
        <v>45131</v>
      </c>
      <c r="D1881" s="8">
        <v>44673</v>
      </c>
      <c r="E1881" s="8"/>
    </row>
    <row r="1882" spans="1:5" x14ac:dyDescent="0.25">
      <c r="A1882" s="1" t="s">
        <v>1872</v>
      </c>
      <c r="B1882" s="8">
        <v>46210</v>
      </c>
      <c r="C1882" s="8">
        <v>45976</v>
      </c>
      <c r="D1882" s="8">
        <v>45818</v>
      </c>
      <c r="E1882" s="8">
        <v>45638</v>
      </c>
    </row>
    <row r="1883" spans="1:5" x14ac:dyDescent="0.25">
      <c r="A1883" s="1" t="s">
        <v>1873</v>
      </c>
      <c r="B1883" s="8">
        <v>46259</v>
      </c>
      <c r="C1883" s="8">
        <v>46121</v>
      </c>
      <c r="D1883" s="8">
        <v>45908</v>
      </c>
      <c r="E1883" s="8">
        <v>45745</v>
      </c>
    </row>
    <row r="1884" spans="1:5" x14ac:dyDescent="0.25">
      <c r="A1884" s="1" t="s">
        <v>1874</v>
      </c>
      <c r="B1884" s="8">
        <v>46201</v>
      </c>
      <c r="C1884" s="8">
        <v>45968</v>
      </c>
      <c r="D1884" s="8">
        <v>45825</v>
      </c>
      <c r="E1884" s="8">
        <v>45647</v>
      </c>
    </row>
    <row r="1885" spans="1:5" x14ac:dyDescent="0.25">
      <c r="A1885" s="1" t="s">
        <v>1875</v>
      </c>
      <c r="B1885" s="8">
        <v>46274</v>
      </c>
      <c r="C1885" s="8">
        <v>46201</v>
      </c>
      <c r="D1885" s="8">
        <v>46025</v>
      </c>
      <c r="E1885" s="8">
        <v>45939</v>
      </c>
    </row>
    <row r="1886" spans="1:5" x14ac:dyDescent="0.25">
      <c r="A1886" s="1" t="s">
        <v>1876</v>
      </c>
      <c r="B1886" s="8"/>
      <c r="C1886" s="8"/>
      <c r="D1886" s="8"/>
      <c r="E1886" s="8"/>
    </row>
    <row r="1887" spans="1:5" x14ac:dyDescent="0.25">
      <c r="A1887" s="1" t="s">
        <v>1877</v>
      </c>
      <c r="B1887" s="8"/>
      <c r="C1887" s="8"/>
      <c r="D1887" s="8"/>
      <c r="E1887" s="8"/>
    </row>
    <row r="1888" spans="1:5" x14ac:dyDescent="0.25">
      <c r="A1888" s="1" t="s">
        <v>1878</v>
      </c>
      <c r="B1888" s="8">
        <v>46170</v>
      </c>
      <c r="C1888" s="8">
        <v>46046</v>
      </c>
      <c r="D1888" s="8">
        <v>45794</v>
      </c>
      <c r="E1888" s="8">
        <v>45634</v>
      </c>
    </row>
    <row r="1889" spans="1:5" x14ac:dyDescent="0.25">
      <c r="A1889" s="1" t="s">
        <v>1879</v>
      </c>
      <c r="B1889" s="8">
        <v>45392</v>
      </c>
      <c r="C1889" s="8">
        <v>45255</v>
      </c>
      <c r="D1889" s="8">
        <v>45111</v>
      </c>
      <c r="E1889" s="8"/>
    </row>
    <row r="1890" spans="1:5" x14ac:dyDescent="0.25">
      <c r="A1890" s="1" t="s">
        <v>1880</v>
      </c>
      <c r="B1890" s="8">
        <v>46251</v>
      </c>
      <c r="C1890" s="8">
        <v>46044</v>
      </c>
      <c r="D1890" s="8">
        <v>45881</v>
      </c>
      <c r="E1890" s="8">
        <v>45665</v>
      </c>
    </row>
    <row r="1891" spans="1:5" x14ac:dyDescent="0.25">
      <c r="A1891" s="1" t="s">
        <v>1881</v>
      </c>
      <c r="B1891" s="8">
        <v>46294</v>
      </c>
      <c r="C1891" s="8">
        <v>46104</v>
      </c>
      <c r="D1891" s="8">
        <v>45923</v>
      </c>
      <c r="E1891" s="8">
        <v>45736</v>
      </c>
    </row>
    <row r="1892" spans="1:5" x14ac:dyDescent="0.25">
      <c r="A1892" s="1" t="s">
        <v>1882</v>
      </c>
      <c r="B1892" s="8">
        <v>46267</v>
      </c>
      <c r="C1892" s="8">
        <v>46003</v>
      </c>
      <c r="D1892" s="8">
        <v>45868</v>
      </c>
      <c r="E1892" s="8">
        <v>45415</v>
      </c>
    </row>
    <row r="1893" spans="1:5" x14ac:dyDescent="0.25">
      <c r="A1893" s="1" t="s">
        <v>1883</v>
      </c>
      <c r="B1893" s="8">
        <v>46256</v>
      </c>
      <c r="C1893" s="8">
        <v>46104</v>
      </c>
      <c r="D1893" s="8">
        <v>45972</v>
      </c>
      <c r="E1893" s="8">
        <v>45791</v>
      </c>
    </row>
    <row r="1894" spans="1:5" x14ac:dyDescent="0.25">
      <c r="A1894" s="1" t="s">
        <v>1884</v>
      </c>
      <c r="B1894" s="8"/>
      <c r="C1894" s="8"/>
      <c r="D1894" s="8"/>
      <c r="E1894" s="8"/>
    </row>
    <row r="1895" spans="1:5" x14ac:dyDescent="0.25">
      <c r="A1895" s="1" t="s">
        <v>1885</v>
      </c>
      <c r="B1895" s="8"/>
      <c r="C1895" s="8"/>
      <c r="D1895" s="8"/>
      <c r="E1895" s="8"/>
    </row>
    <row r="1896" spans="1:5" x14ac:dyDescent="0.25">
      <c r="A1896" s="1" t="s">
        <v>1886</v>
      </c>
      <c r="B1896" s="8"/>
      <c r="C1896" s="8"/>
      <c r="D1896" s="8"/>
      <c r="E1896" s="8"/>
    </row>
    <row r="1897" spans="1:5" x14ac:dyDescent="0.25">
      <c r="A1897" s="1" t="s">
        <v>1887</v>
      </c>
      <c r="B1897" s="8">
        <v>46232</v>
      </c>
      <c r="C1897" s="8">
        <v>46071</v>
      </c>
      <c r="D1897" s="8">
        <v>45857</v>
      </c>
      <c r="E1897" s="8">
        <v>45308</v>
      </c>
    </row>
    <row r="1898" spans="1:5" x14ac:dyDescent="0.25">
      <c r="A1898" s="1" t="s">
        <v>1888</v>
      </c>
      <c r="B1898" s="8"/>
      <c r="C1898" s="8"/>
      <c r="D1898" s="8"/>
      <c r="E1898" s="8"/>
    </row>
    <row r="1899" spans="1:5" x14ac:dyDescent="0.25">
      <c r="A1899" s="1" t="s">
        <v>1889</v>
      </c>
      <c r="B1899" s="8"/>
      <c r="C1899" s="8"/>
      <c r="D1899" s="8"/>
      <c r="E1899" s="8"/>
    </row>
    <row r="1900" spans="1:5" x14ac:dyDescent="0.25">
      <c r="A1900" s="1" t="s">
        <v>1890</v>
      </c>
      <c r="B1900" s="8">
        <v>46294</v>
      </c>
      <c r="C1900" s="8">
        <v>46036</v>
      </c>
      <c r="D1900" s="8">
        <v>45889</v>
      </c>
      <c r="E1900" s="8">
        <v>45676</v>
      </c>
    </row>
    <row r="1901" spans="1:5" x14ac:dyDescent="0.25">
      <c r="A1901" s="1" t="s">
        <v>1891</v>
      </c>
      <c r="B1901" s="8">
        <v>46226</v>
      </c>
      <c r="C1901" s="8">
        <v>46019</v>
      </c>
      <c r="D1901" s="8">
        <v>45897</v>
      </c>
      <c r="E1901" s="8">
        <v>45673</v>
      </c>
    </row>
    <row r="1902" spans="1:5" x14ac:dyDescent="0.25">
      <c r="A1902" s="1" t="s">
        <v>1892</v>
      </c>
      <c r="B1902" s="8">
        <v>46170</v>
      </c>
      <c r="C1902" s="8">
        <v>45996</v>
      </c>
      <c r="D1902" s="8">
        <v>45785</v>
      </c>
      <c r="E1902" s="8">
        <v>45617</v>
      </c>
    </row>
    <row r="1903" spans="1:5" x14ac:dyDescent="0.25">
      <c r="A1903" s="1" t="s">
        <v>1893</v>
      </c>
      <c r="B1903" s="8"/>
      <c r="C1903" s="8"/>
      <c r="D1903" s="8"/>
      <c r="E1903" s="8"/>
    </row>
    <row r="1904" spans="1:5" x14ac:dyDescent="0.25">
      <c r="A1904" s="1" t="s">
        <v>1895</v>
      </c>
      <c r="B1904" s="8"/>
      <c r="C1904" s="8"/>
      <c r="D1904" s="8"/>
      <c r="E1904" s="8"/>
    </row>
    <row r="1905" spans="1:5" x14ac:dyDescent="0.25">
      <c r="A1905" s="1" t="s">
        <v>1896</v>
      </c>
      <c r="B1905" s="8">
        <v>46260</v>
      </c>
      <c r="C1905" s="8">
        <v>46069</v>
      </c>
      <c r="D1905" s="8">
        <v>45889</v>
      </c>
      <c r="E1905" s="8">
        <v>45693</v>
      </c>
    </row>
    <row r="1906" spans="1:5" x14ac:dyDescent="0.25">
      <c r="A1906" s="1" t="s">
        <v>1894</v>
      </c>
      <c r="B1906" s="8">
        <v>46238</v>
      </c>
      <c r="C1906" s="8">
        <v>46067</v>
      </c>
      <c r="D1906" s="8">
        <v>45862</v>
      </c>
      <c r="E1906" s="8">
        <v>45693</v>
      </c>
    </row>
    <row r="1907" spans="1:5" x14ac:dyDescent="0.25">
      <c r="A1907" s="1" t="s">
        <v>1897</v>
      </c>
      <c r="B1907" s="8">
        <v>46251</v>
      </c>
      <c r="C1907" s="8">
        <v>46095</v>
      </c>
      <c r="D1907" s="8">
        <v>45888</v>
      </c>
      <c r="E1907" s="8">
        <v>45675</v>
      </c>
    </row>
    <row r="1908" spans="1:5" x14ac:dyDescent="0.25">
      <c r="A1908" s="1" t="s">
        <v>1899</v>
      </c>
      <c r="B1908" s="8"/>
      <c r="C1908" s="8"/>
      <c r="D1908" s="8"/>
      <c r="E1908" s="8"/>
    </row>
    <row r="1909" spans="1:5" x14ac:dyDescent="0.25">
      <c r="A1909" s="1" t="s">
        <v>1898</v>
      </c>
      <c r="B1909" s="8"/>
      <c r="C1909" s="8"/>
      <c r="D1909" s="8"/>
      <c r="E1909" s="8"/>
    </row>
    <row r="1910" spans="1:5" x14ac:dyDescent="0.25">
      <c r="A1910" s="1" t="s">
        <v>1900</v>
      </c>
      <c r="B1910" s="8"/>
      <c r="C1910" s="8"/>
      <c r="D1910" s="8"/>
      <c r="E1910" s="8"/>
    </row>
    <row r="1911" spans="1:5" x14ac:dyDescent="0.25">
      <c r="A1911" s="1" t="s">
        <v>1902</v>
      </c>
      <c r="B1911" s="8"/>
      <c r="C1911" s="8"/>
      <c r="D1911" s="8"/>
      <c r="E1911" s="8"/>
    </row>
    <row r="1912" spans="1:5" x14ac:dyDescent="0.25">
      <c r="A1912" s="1" t="s">
        <v>1903</v>
      </c>
      <c r="B1912" s="8"/>
      <c r="C1912" s="8"/>
      <c r="D1912" s="8"/>
      <c r="E1912" s="8"/>
    </row>
    <row r="1913" spans="1:5" x14ac:dyDescent="0.25">
      <c r="A1913" s="1" t="s">
        <v>1901</v>
      </c>
      <c r="B1913" s="8"/>
      <c r="C1913" s="8"/>
      <c r="D1913" s="8"/>
      <c r="E1913" s="8"/>
    </row>
    <row r="1914" spans="1:5" x14ac:dyDescent="0.25">
      <c r="A1914" s="1" t="s">
        <v>1904</v>
      </c>
      <c r="B1914" s="8">
        <v>46164</v>
      </c>
      <c r="C1914" s="8">
        <v>45985</v>
      </c>
      <c r="D1914" s="8">
        <v>45800</v>
      </c>
      <c r="E1914" s="8">
        <v>45650</v>
      </c>
    </row>
    <row r="1915" spans="1:5" x14ac:dyDescent="0.25">
      <c r="A1915" s="1" t="s">
        <v>1905</v>
      </c>
      <c r="B1915" s="8">
        <v>46272</v>
      </c>
      <c r="C1915" s="8">
        <v>46008</v>
      </c>
      <c r="D1915" s="8">
        <v>45818</v>
      </c>
      <c r="E1915" s="8">
        <v>45562</v>
      </c>
    </row>
    <row r="1916" spans="1:5" x14ac:dyDescent="0.25">
      <c r="A1916" s="1" t="s">
        <v>1906</v>
      </c>
      <c r="B1916" s="8">
        <v>46266</v>
      </c>
      <c r="C1916" s="8">
        <v>46091</v>
      </c>
      <c r="D1916" s="8">
        <v>45919</v>
      </c>
      <c r="E1916" s="8">
        <v>45734</v>
      </c>
    </row>
    <row r="1917" spans="1:5" x14ac:dyDescent="0.25">
      <c r="A1917" s="1" t="s">
        <v>1907</v>
      </c>
      <c r="B1917" s="8">
        <v>45561</v>
      </c>
      <c r="C1917" s="8">
        <v>45415</v>
      </c>
      <c r="D1917" s="8">
        <v>45184</v>
      </c>
      <c r="E1917" s="8">
        <v>45036</v>
      </c>
    </row>
    <row r="1918" spans="1:5" x14ac:dyDescent="0.25">
      <c r="A1918" s="1" t="s">
        <v>1908</v>
      </c>
      <c r="B1918" s="8"/>
      <c r="C1918" s="8"/>
      <c r="D1918" s="8"/>
      <c r="E1918" s="8"/>
    </row>
    <row r="1919" spans="1:5" x14ac:dyDescent="0.25">
      <c r="A1919" s="1" t="s">
        <v>1909</v>
      </c>
      <c r="B1919" s="8">
        <v>46287</v>
      </c>
      <c r="C1919" s="8">
        <v>46099</v>
      </c>
      <c r="D1919" s="8">
        <v>46008</v>
      </c>
      <c r="E1919" s="8">
        <v>45807</v>
      </c>
    </row>
    <row r="1920" spans="1:5" x14ac:dyDescent="0.25">
      <c r="A1920" s="1" t="s">
        <v>1911</v>
      </c>
      <c r="B1920" s="8">
        <v>45190</v>
      </c>
      <c r="C1920" s="8"/>
      <c r="D1920" s="8"/>
      <c r="E1920" s="8"/>
    </row>
    <row r="1921" spans="1:5" x14ac:dyDescent="0.25">
      <c r="A1921" s="1" t="s">
        <v>1912</v>
      </c>
      <c r="B1921" s="8"/>
      <c r="C1921" s="8"/>
      <c r="D1921" s="8"/>
      <c r="E1921" s="8"/>
    </row>
    <row r="1922" spans="1:5" x14ac:dyDescent="0.25">
      <c r="A1922" s="1" t="s">
        <v>1910</v>
      </c>
      <c r="B1922" s="8">
        <v>46150</v>
      </c>
      <c r="C1922" s="8">
        <v>45842</v>
      </c>
      <c r="D1922" s="8">
        <v>45560</v>
      </c>
      <c r="E1922" s="8">
        <v>45406</v>
      </c>
    </row>
    <row r="1923" spans="1:5" x14ac:dyDescent="0.25">
      <c r="A1923" s="1" t="s">
        <v>1913</v>
      </c>
      <c r="B1923" s="8">
        <v>46174</v>
      </c>
      <c r="C1923" s="8">
        <v>46069</v>
      </c>
      <c r="D1923" s="8">
        <v>45776</v>
      </c>
      <c r="E1923" s="8">
        <v>45618</v>
      </c>
    </row>
    <row r="1924" spans="1:5" x14ac:dyDescent="0.25">
      <c r="A1924" s="1" t="s">
        <v>1914</v>
      </c>
      <c r="B1924" s="8"/>
      <c r="C1924" s="8"/>
      <c r="D1924" s="8"/>
      <c r="E1924" s="8"/>
    </row>
    <row r="1925" spans="1:5" x14ac:dyDescent="0.25">
      <c r="A1925" s="1" t="s">
        <v>1915</v>
      </c>
      <c r="B1925" s="8"/>
      <c r="C1925" s="8"/>
      <c r="D1925" s="8"/>
      <c r="E1925" s="8"/>
    </row>
    <row r="1926" spans="1:5" x14ac:dyDescent="0.25">
      <c r="A1926" s="1" t="s">
        <v>1917</v>
      </c>
      <c r="B1926" s="8">
        <v>45316</v>
      </c>
      <c r="C1926" s="8">
        <v>45131</v>
      </c>
      <c r="D1926" s="8">
        <v>44673</v>
      </c>
      <c r="E1926" s="8"/>
    </row>
    <row r="1927" spans="1:5" x14ac:dyDescent="0.25">
      <c r="A1927" s="1" t="s">
        <v>1916</v>
      </c>
      <c r="B1927" s="8">
        <v>45322</v>
      </c>
      <c r="C1927" s="8">
        <v>45131</v>
      </c>
      <c r="D1927" s="8">
        <v>44673</v>
      </c>
      <c r="E1927" s="8"/>
    </row>
    <row r="1928" spans="1:5" x14ac:dyDescent="0.25">
      <c r="A1928" s="1" t="s">
        <v>1918</v>
      </c>
      <c r="B1928" s="8">
        <v>45722</v>
      </c>
      <c r="C1928" s="8">
        <v>45527</v>
      </c>
      <c r="D1928" s="8">
        <v>45374</v>
      </c>
      <c r="E1928" s="8">
        <v>45141</v>
      </c>
    </row>
    <row r="1929" spans="1:5" x14ac:dyDescent="0.25">
      <c r="A1929" s="1" t="s">
        <v>1919</v>
      </c>
      <c r="B1929" s="8">
        <v>46009</v>
      </c>
      <c r="C1929" s="8">
        <v>45939</v>
      </c>
      <c r="D1929" s="8">
        <v>45544</v>
      </c>
      <c r="E1929" s="8">
        <v>45427</v>
      </c>
    </row>
    <row r="1930" spans="1:5" x14ac:dyDescent="0.25">
      <c r="A1930" s="1" t="s">
        <v>1920</v>
      </c>
      <c r="B1930" s="8"/>
      <c r="C1930" s="8"/>
      <c r="D1930" s="8"/>
      <c r="E1930" s="8"/>
    </row>
    <row r="1931" spans="1:5" x14ac:dyDescent="0.25">
      <c r="A1931" s="1" t="s">
        <v>1921</v>
      </c>
      <c r="B1931" s="8">
        <v>46220</v>
      </c>
      <c r="C1931" s="8">
        <v>46030</v>
      </c>
      <c r="D1931" s="8">
        <v>45871</v>
      </c>
      <c r="E1931" s="8"/>
    </row>
    <row r="1932" spans="1:5" x14ac:dyDescent="0.25">
      <c r="A1932" s="1" t="s">
        <v>1922</v>
      </c>
      <c r="B1932" s="8"/>
      <c r="C1932" s="8"/>
      <c r="D1932" s="8"/>
      <c r="E1932" s="8"/>
    </row>
    <row r="1933" spans="1:5" x14ac:dyDescent="0.25">
      <c r="A1933" s="1" t="s">
        <v>1929</v>
      </c>
      <c r="B1933" s="8"/>
      <c r="C1933" s="8"/>
      <c r="D1933" s="8"/>
      <c r="E1933" s="8"/>
    </row>
    <row r="1934" spans="1:5" x14ac:dyDescent="0.25">
      <c r="A1934" s="1" t="s">
        <v>1945</v>
      </c>
      <c r="B1934" s="8"/>
      <c r="C1934" s="8"/>
      <c r="D1934" s="8"/>
      <c r="E1934" s="8"/>
    </row>
    <row r="1935" spans="1:5" x14ac:dyDescent="0.25">
      <c r="A1935" s="1" t="s">
        <v>1946</v>
      </c>
      <c r="B1935" s="8">
        <v>46239</v>
      </c>
      <c r="C1935" s="8">
        <v>46080</v>
      </c>
      <c r="D1935" s="8">
        <v>45901</v>
      </c>
      <c r="E1935" s="8">
        <v>45686</v>
      </c>
    </row>
    <row r="1936" spans="1:5" x14ac:dyDescent="0.25">
      <c r="A1936" s="1" t="s">
        <v>1941</v>
      </c>
      <c r="B1936" s="8">
        <v>46266</v>
      </c>
      <c r="C1936" s="8">
        <v>45734</v>
      </c>
      <c r="D1936" s="8">
        <v>45615</v>
      </c>
      <c r="E1936" s="8">
        <v>45507</v>
      </c>
    </row>
    <row r="1937" spans="1:5" x14ac:dyDescent="0.25">
      <c r="A1937" s="1" t="s">
        <v>1926</v>
      </c>
      <c r="B1937" s="8">
        <v>45472</v>
      </c>
      <c r="C1937" s="8">
        <v>45288</v>
      </c>
      <c r="D1937" s="8">
        <v>45122</v>
      </c>
      <c r="E1937" s="8">
        <v>45066</v>
      </c>
    </row>
    <row r="1938" spans="1:5" x14ac:dyDescent="0.25">
      <c r="A1938" s="1" t="s">
        <v>1939</v>
      </c>
      <c r="B1938" s="8">
        <v>46252</v>
      </c>
      <c r="C1938" s="8">
        <v>46031</v>
      </c>
      <c r="D1938" s="8">
        <v>45798</v>
      </c>
      <c r="E1938" s="8">
        <v>45616</v>
      </c>
    </row>
    <row r="1939" spans="1:5" x14ac:dyDescent="0.25">
      <c r="A1939" s="1" t="s">
        <v>1935</v>
      </c>
      <c r="B1939" s="8">
        <v>46149</v>
      </c>
      <c r="C1939" s="8">
        <v>45941</v>
      </c>
      <c r="D1939" s="8">
        <v>45762</v>
      </c>
      <c r="E1939" s="8">
        <v>45607</v>
      </c>
    </row>
    <row r="1940" spans="1:5" x14ac:dyDescent="0.25">
      <c r="A1940" s="1" t="s">
        <v>1942</v>
      </c>
      <c r="B1940" s="8"/>
      <c r="C1940" s="8"/>
      <c r="D1940" s="8"/>
      <c r="E1940" s="8"/>
    </row>
    <row r="1941" spans="1:5" x14ac:dyDescent="0.25">
      <c r="A1941" s="1" t="s">
        <v>1944</v>
      </c>
      <c r="B1941" s="8">
        <v>46252</v>
      </c>
      <c r="C1941" s="8">
        <v>46030</v>
      </c>
      <c r="D1941" s="8">
        <v>45798</v>
      </c>
      <c r="E1941" s="8">
        <v>45616</v>
      </c>
    </row>
    <row r="1942" spans="1:5" x14ac:dyDescent="0.25">
      <c r="A1942" s="1" t="s">
        <v>1936</v>
      </c>
      <c r="B1942" s="8"/>
      <c r="C1942" s="8"/>
      <c r="D1942" s="8"/>
      <c r="E1942" s="8"/>
    </row>
    <row r="1943" spans="1:5" x14ac:dyDescent="0.25">
      <c r="A1943" s="1" t="s">
        <v>1925</v>
      </c>
      <c r="B1943" s="8"/>
      <c r="C1943" s="8"/>
      <c r="D1943" s="8"/>
      <c r="E1943" s="8"/>
    </row>
    <row r="1944" spans="1:5" x14ac:dyDescent="0.25">
      <c r="A1944" s="1" t="s">
        <v>1934</v>
      </c>
      <c r="B1944" s="8">
        <v>45677</v>
      </c>
      <c r="C1944" s="8">
        <v>45527</v>
      </c>
      <c r="D1944" s="8">
        <v>45419</v>
      </c>
      <c r="E1944" s="8">
        <v>45295</v>
      </c>
    </row>
    <row r="1945" spans="1:5" x14ac:dyDescent="0.25">
      <c r="A1945" s="1" t="s">
        <v>1932</v>
      </c>
      <c r="B1945" s="8">
        <v>46170</v>
      </c>
      <c r="C1945" s="8">
        <v>45983</v>
      </c>
      <c r="D1945" s="8">
        <v>45719</v>
      </c>
      <c r="E1945" s="8">
        <v>45294</v>
      </c>
    </row>
    <row r="1946" spans="1:5" x14ac:dyDescent="0.25">
      <c r="A1946" s="1" t="s">
        <v>1940</v>
      </c>
      <c r="B1946" s="8">
        <v>46252</v>
      </c>
      <c r="C1946" s="8">
        <v>46031</v>
      </c>
      <c r="D1946" s="8">
        <v>45798</v>
      </c>
      <c r="E1946" s="8">
        <v>45616</v>
      </c>
    </row>
    <row r="1947" spans="1:5" x14ac:dyDescent="0.25">
      <c r="A1947" s="1" t="s">
        <v>1931</v>
      </c>
      <c r="B1947" s="8"/>
      <c r="C1947" s="8"/>
      <c r="D1947" s="8"/>
      <c r="E1947" s="8"/>
    </row>
    <row r="1948" spans="1:5" x14ac:dyDescent="0.25">
      <c r="A1948" s="1" t="s">
        <v>1937</v>
      </c>
      <c r="B1948" s="8"/>
      <c r="C1948" s="8"/>
      <c r="D1948" s="8"/>
      <c r="E1948" s="8"/>
    </row>
    <row r="1949" spans="1:5" x14ac:dyDescent="0.25">
      <c r="A1949" s="1" t="s">
        <v>1924</v>
      </c>
      <c r="B1949" s="8">
        <v>45208</v>
      </c>
      <c r="C1949" s="8">
        <v>44994</v>
      </c>
      <c r="D1949" s="8">
        <v>44856</v>
      </c>
      <c r="E1949" s="8"/>
    </row>
    <row r="1950" spans="1:5" x14ac:dyDescent="0.25">
      <c r="A1950" s="1" t="s">
        <v>1933</v>
      </c>
      <c r="B1950" s="8"/>
      <c r="C1950" s="8"/>
      <c r="D1950" s="8"/>
      <c r="E1950" s="8"/>
    </row>
    <row r="1951" spans="1:5" x14ac:dyDescent="0.25">
      <c r="A1951" s="1" t="s">
        <v>1928</v>
      </c>
      <c r="B1951" s="8">
        <v>45084</v>
      </c>
      <c r="C1951" s="8">
        <v>44873</v>
      </c>
      <c r="D1951" s="8"/>
      <c r="E1951" s="8"/>
    </row>
    <row r="1952" spans="1:5" x14ac:dyDescent="0.25">
      <c r="A1952" s="1" t="s">
        <v>1943</v>
      </c>
      <c r="B1952" s="8">
        <v>46161</v>
      </c>
      <c r="C1952" s="8">
        <v>45964</v>
      </c>
      <c r="D1952" s="8">
        <v>45785</v>
      </c>
      <c r="E1952" s="8">
        <v>45640</v>
      </c>
    </row>
    <row r="1953" spans="1:5" x14ac:dyDescent="0.25">
      <c r="A1953" s="1" t="s">
        <v>1938</v>
      </c>
      <c r="B1953" s="8"/>
      <c r="C1953" s="8"/>
      <c r="D1953" s="8"/>
      <c r="E1953" s="8"/>
    </row>
    <row r="1954" spans="1:5" x14ac:dyDescent="0.25">
      <c r="A1954" s="1" t="s">
        <v>1930</v>
      </c>
      <c r="B1954" s="8"/>
      <c r="C1954" s="8"/>
      <c r="D1954" s="8"/>
      <c r="E1954" s="8"/>
    </row>
    <row r="1955" spans="1:5" x14ac:dyDescent="0.25">
      <c r="A1955" s="1" t="s">
        <v>1923</v>
      </c>
      <c r="B1955" s="8"/>
      <c r="C1955" s="8"/>
      <c r="D1955" s="8"/>
      <c r="E1955" s="8"/>
    </row>
    <row r="1956" spans="1:5" x14ac:dyDescent="0.25">
      <c r="A1956" s="1" t="s">
        <v>1927</v>
      </c>
      <c r="B1956" s="8"/>
      <c r="C1956" s="8"/>
      <c r="D1956" s="8"/>
      <c r="E1956" s="8"/>
    </row>
    <row r="1957" spans="1:5" x14ac:dyDescent="0.25">
      <c r="A1957" s="1" t="s">
        <v>1947</v>
      </c>
      <c r="B1957" s="8">
        <v>46133</v>
      </c>
      <c r="C1957" s="8">
        <v>45973</v>
      </c>
      <c r="D1957" s="8">
        <v>45814</v>
      </c>
      <c r="E1957" s="8">
        <v>45626</v>
      </c>
    </row>
    <row r="1958" spans="1:5" x14ac:dyDescent="0.25">
      <c r="A1958" s="1" t="s">
        <v>1949</v>
      </c>
      <c r="B1958" s="8"/>
      <c r="C1958" s="8"/>
      <c r="D1958" s="8"/>
      <c r="E1958" s="8"/>
    </row>
    <row r="1959" spans="1:5" x14ac:dyDescent="0.25">
      <c r="A1959" s="1" t="s">
        <v>1948</v>
      </c>
      <c r="B1959" s="8"/>
      <c r="C1959" s="8"/>
      <c r="D1959" s="8"/>
      <c r="E1959" s="8"/>
    </row>
    <row r="1960" spans="1:5" x14ac:dyDescent="0.25">
      <c r="A1960" s="1" t="s">
        <v>1950</v>
      </c>
      <c r="B1960" s="8">
        <v>46248</v>
      </c>
      <c r="C1960" s="8">
        <v>46078</v>
      </c>
      <c r="D1960" s="8">
        <v>45924</v>
      </c>
      <c r="E1960" s="8">
        <v>45747</v>
      </c>
    </row>
    <row r="1961" spans="1:5" x14ac:dyDescent="0.25">
      <c r="A1961" s="1" t="s">
        <v>1952</v>
      </c>
      <c r="B1961" s="8"/>
      <c r="C1961" s="8"/>
      <c r="D1961" s="8"/>
      <c r="E1961" s="8"/>
    </row>
    <row r="1962" spans="1:5" x14ac:dyDescent="0.25">
      <c r="A1962" s="1" t="s">
        <v>1951</v>
      </c>
      <c r="B1962" s="8">
        <v>45988</v>
      </c>
      <c r="C1962" s="8">
        <v>45728</v>
      </c>
      <c r="D1962" s="8">
        <v>45442</v>
      </c>
      <c r="E1962" s="8">
        <v>45239</v>
      </c>
    </row>
    <row r="1963" spans="1:5" x14ac:dyDescent="0.25">
      <c r="A1963" s="1" t="s">
        <v>1953</v>
      </c>
      <c r="B1963" s="8">
        <v>46298</v>
      </c>
      <c r="C1963" s="8">
        <v>45961</v>
      </c>
      <c r="D1963" s="8">
        <v>45705</v>
      </c>
      <c r="E1963" s="8">
        <v>45482</v>
      </c>
    </row>
    <row r="1964" spans="1:5" x14ac:dyDescent="0.25">
      <c r="A1964" s="1" t="s">
        <v>1955</v>
      </c>
      <c r="B1964" s="8"/>
      <c r="C1964" s="8"/>
      <c r="D1964" s="8"/>
      <c r="E1964" s="8"/>
    </row>
    <row r="1965" spans="1:5" x14ac:dyDescent="0.25">
      <c r="A1965" s="1" t="s">
        <v>1956</v>
      </c>
      <c r="B1965" s="8"/>
      <c r="C1965" s="8"/>
      <c r="D1965" s="8"/>
      <c r="E1965" s="8"/>
    </row>
    <row r="1966" spans="1:5" x14ac:dyDescent="0.25">
      <c r="A1966" s="1" t="s">
        <v>1954</v>
      </c>
      <c r="B1966" s="8">
        <v>46193</v>
      </c>
      <c r="C1966" s="8">
        <v>45968</v>
      </c>
      <c r="D1966" s="8">
        <v>45849</v>
      </c>
      <c r="E1966" s="8">
        <v>45692</v>
      </c>
    </row>
    <row r="1967" spans="1:5" x14ac:dyDescent="0.25">
      <c r="A1967" s="1" t="s">
        <v>1957</v>
      </c>
      <c r="B1967" s="8"/>
      <c r="C1967" s="8"/>
      <c r="D1967" s="8"/>
      <c r="E1967" s="8"/>
    </row>
    <row r="1968" spans="1:5" x14ac:dyDescent="0.25">
      <c r="A1968" s="1" t="s">
        <v>1958</v>
      </c>
      <c r="B1968" s="8">
        <v>45374</v>
      </c>
      <c r="C1968" s="8">
        <v>45196</v>
      </c>
      <c r="D1968" s="8">
        <v>45045</v>
      </c>
      <c r="E1968" s="8">
        <v>45022</v>
      </c>
    </row>
    <row r="1969" spans="1:5" x14ac:dyDescent="0.25">
      <c r="A1969" s="1" t="s">
        <v>1959</v>
      </c>
      <c r="B1969" s="8"/>
      <c r="C1969" s="8"/>
      <c r="D1969" s="8"/>
      <c r="E1969" s="8"/>
    </row>
    <row r="1970" spans="1:5" x14ac:dyDescent="0.25">
      <c r="A1970" s="1" t="s">
        <v>1960</v>
      </c>
      <c r="B1970" s="8"/>
      <c r="C1970" s="8"/>
      <c r="D1970" s="8"/>
      <c r="E1970" s="8"/>
    </row>
    <row r="1971" spans="1:5" x14ac:dyDescent="0.25">
      <c r="A1971" s="1" t="s">
        <v>1961</v>
      </c>
      <c r="B1971" s="8"/>
      <c r="C1971" s="8"/>
      <c r="D1971" s="8"/>
      <c r="E1971" s="8"/>
    </row>
    <row r="1972" spans="1:5" x14ac:dyDescent="0.25">
      <c r="A1972" s="1" t="s">
        <v>1962</v>
      </c>
      <c r="B1972" s="8"/>
      <c r="C1972" s="8"/>
      <c r="D1972" s="8"/>
      <c r="E1972" s="8"/>
    </row>
    <row r="1973" spans="1:5" x14ac:dyDescent="0.25">
      <c r="A1973" s="1" t="s">
        <v>1964</v>
      </c>
      <c r="B1973" s="8">
        <v>46150</v>
      </c>
      <c r="C1973" s="8">
        <v>45944</v>
      </c>
      <c r="D1973" s="8">
        <v>45800</v>
      </c>
      <c r="E1973" s="8">
        <v>45574</v>
      </c>
    </row>
    <row r="1974" spans="1:5" x14ac:dyDescent="0.25">
      <c r="A1974" s="1" t="s">
        <v>1963</v>
      </c>
      <c r="B1974" s="8">
        <v>45148</v>
      </c>
      <c r="C1974" s="8">
        <v>45026</v>
      </c>
      <c r="D1974" s="8">
        <v>44684</v>
      </c>
      <c r="E1974" s="8"/>
    </row>
    <row r="1975" spans="1:5" x14ac:dyDescent="0.25">
      <c r="A1975" s="1" t="s">
        <v>1965</v>
      </c>
      <c r="B1975" s="8"/>
      <c r="C1975" s="8"/>
      <c r="D1975" s="8"/>
      <c r="E1975" s="8"/>
    </row>
    <row r="1976" spans="1:5" x14ac:dyDescent="0.25">
      <c r="A1976" s="1" t="s">
        <v>1966</v>
      </c>
      <c r="B1976" s="8"/>
      <c r="C1976" s="8"/>
      <c r="D1976" s="8"/>
      <c r="E1976" s="8"/>
    </row>
    <row r="1977" spans="1:5" x14ac:dyDescent="0.25">
      <c r="A1977" s="1" t="s">
        <v>1967</v>
      </c>
      <c r="B1977" s="8">
        <v>46183</v>
      </c>
      <c r="C1977" s="8">
        <v>46030</v>
      </c>
      <c r="D1977" s="8">
        <v>45831</v>
      </c>
      <c r="E1977" s="8">
        <v>45714</v>
      </c>
    </row>
    <row r="1978" spans="1:5" x14ac:dyDescent="0.25">
      <c r="A1978" s="1" t="s">
        <v>1968</v>
      </c>
      <c r="B1978" s="8"/>
      <c r="C1978" s="8"/>
      <c r="D1978" s="8"/>
      <c r="E1978" s="8"/>
    </row>
    <row r="1979" spans="1:5" x14ac:dyDescent="0.25">
      <c r="A1979" s="1" t="s">
        <v>1969</v>
      </c>
      <c r="B1979" s="8">
        <v>46283</v>
      </c>
      <c r="C1979" s="8">
        <v>46114</v>
      </c>
      <c r="D1979" s="8">
        <v>45922</v>
      </c>
      <c r="E1979" s="8">
        <v>45777</v>
      </c>
    </row>
    <row r="1980" spans="1:5" x14ac:dyDescent="0.25">
      <c r="A1980" s="1" t="s">
        <v>1970</v>
      </c>
      <c r="B1980" s="8"/>
      <c r="C1980" s="8"/>
      <c r="D1980" s="8"/>
      <c r="E1980" s="8"/>
    </row>
    <row r="1981" spans="1:5" x14ac:dyDescent="0.25">
      <c r="A1981" s="1" t="s">
        <v>1971</v>
      </c>
      <c r="B1981" s="8">
        <v>46266</v>
      </c>
      <c r="C1981" s="8">
        <v>46108</v>
      </c>
      <c r="D1981" s="8">
        <v>45920</v>
      </c>
      <c r="E1981" s="8">
        <v>45744</v>
      </c>
    </row>
    <row r="1982" spans="1:5" x14ac:dyDescent="0.25">
      <c r="A1982" s="1" t="s">
        <v>1972</v>
      </c>
      <c r="B1982" s="8"/>
      <c r="C1982" s="8"/>
      <c r="D1982" s="8"/>
      <c r="E1982" s="8"/>
    </row>
    <row r="1983" spans="1:5" x14ac:dyDescent="0.25">
      <c r="A1983" s="1" t="s">
        <v>1973</v>
      </c>
      <c r="B1983" s="8">
        <v>46298</v>
      </c>
      <c r="C1983" s="8">
        <v>45979</v>
      </c>
      <c r="D1983" s="8">
        <v>45705</v>
      </c>
      <c r="E1983" s="8">
        <v>45482</v>
      </c>
    </row>
    <row r="1984" spans="1:5" x14ac:dyDescent="0.25">
      <c r="A1984" s="1" t="s">
        <v>1974</v>
      </c>
      <c r="B1984" s="8"/>
      <c r="C1984" s="8"/>
      <c r="D1984" s="8"/>
      <c r="E1984" s="8"/>
    </row>
    <row r="1985" spans="1:5" x14ac:dyDescent="0.25">
      <c r="A1985" s="1" t="s">
        <v>1975</v>
      </c>
      <c r="B1985" s="8">
        <v>45686</v>
      </c>
      <c r="C1985" s="8">
        <v>45622</v>
      </c>
      <c r="D1985" s="8">
        <v>45331</v>
      </c>
      <c r="E1985" s="8">
        <v>45187</v>
      </c>
    </row>
    <row r="1986" spans="1:5" x14ac:dyDescent="0.25">
      <c r="A1986" s="1" t="s">
        <v>1976</v>
      </c>
      <c r="B1986" s="8">
        <v>46119</v>
      </c>
      <c r="C1986" s="8">
        <v>46013</v>
      </c>
      <c r="D1986" s="8">
        <v>45838</v>
      </c>
      <c r="E1986" s="8">
        <v>45651</v>
      </c>
    </row>
    <row r="1987" spans="1:5" x14ac:dyDescent="0.25">
      <c r="A1987" s="1" t="s">
        <v>1977</v>
      </c>
      <c r="B1987" s="8">
        <v>46188</v>
      </c>
      <c r="C1987" s="8">
        <v>46036</v>
      </c>
      <c r="D1987" s="8">
        <v>45875</v>
      </c>
      <c r="E1987" s="8">
        <v>45651</v>
      </c>
    </row>
    <row r="1988" spans="1:5" x14ac:dyDescent="0.25">
      <c r="A1988" s="1" t="s">
        <v>1978</v>
      </c>
      <c r="B1988" s="8"/>
      <c r="C1988" s="8"/>
      <c r="D1988" s="8"/>
      <c r="E1988" s="8"/>
    </row>
    <row r="1989" spans="1:5" x14ac:dyDescent="0.25">
      <c r="A1989" s="1" t="s">
        <v>1979</v>
      </c>
      <c r="B1989" s="8"/>
      <c r="C1989" s="8"/>
      <c r="D1989" s="8"/>
      <c r="E1989" s="8"/>
    </row>
    <row r="1990" spans="1:5" x14ac:dyDescent="0.25">
      <c r="A1990" s="1" t="s">
        <v>1980</v>
      </c>
      <c r="B1990" s="8">
        <v>46207</v>
      </c>
      <c r="C1990" s="8">
        <v>46017</v>
      </c>
      <c r="D1990" s="8">
        <v>45856</v>
      </c>
      <c r="E1990" s="8">
        <v>45644</v>
      </c>
    </row>
    <row r="1991" spans="1:5" x14ac:dyDescent="0.25">
      <c r="A1991" s="1" t="s">
        <v>1981</v>
      </c>
      <c r="B1991" s="8">
        <v>46191</v>
      </c>
      <c r="C1991" s="8">
        <v>46036</v>
      </c>
      <c r="D1991" s="8">
        <v>45843</v>
      </c>
      <c r="E1991" s="8">
        <v>45644</v>
      </c>
    </row>
    <row r="1992" spans="1:5" x14ac:dyDescent="0.25">
      <c r="A1992" s="1" t="s">
        <v>1983</v>
      </c>
      <c r="B1992" s="8"/>
      <c r="C1992" s="8"/>
      <c r="D1992" s="8"/>
      <c r="E1992" s="8"/>
    </row>
    <row r="1993" spans="1:5" x14ac:dyDescent="0.25">
      <c r="A1993" s="1" t="s">
        <v>1982</v>
      </c>
      <c r="B1993" s="8"/>
      <c r="C1993" s="8"/>
      <c r="D1993" s="8"/>
      <c r="E1993" s="8"/>
    </row>
    <row r="1994" spans="1:5" x14ac:dyDescent="0.25">
      <c r="A1994" s="1" t="s">
        <v>1984</v>
      </c>
      <c r="B1994" s="8"/>
      <c r="C1994" s="8"/>
      <c r="D1994" s="8"/>
      <c r="E1994" s="8"/>
    </row>
    <row r="1995" spans="1:5" x14ac:dyDescent="0.25">
      <c r="A1995" s="1" t="s">
        <v>1985</v>
      </c>
      <c r="B1995" s="8"/>
      <c r="C1995" s="8"/>
      <c r="D1995" s="8"/>
      <c r="E1995" s="8"/>
    </row>
    <row r="1996" spans="1:5" x14ac:dyDescent="0.25">
      <c r="A1996" s="1" t="s">
        <v>1986</v>
      </c>
      <c r="B1996" s="8">
        <v>46191</v>
      </c>
      <c r="C1996" s="8">
        <v>45982</v>
      </c>
      <c r="D1996" s="8">
        <v>45982</v>
      </c>
      <c r="E1996" s="8">
        <v>45843</v>
      </c>
    </row>
    <row r="1997" spans="1:5" x14ac:dyDescent="0.25">
      <c r="A1997" s="1" t="s">
        <v>1987</v>
      </c>
      <c r="B1997" s="8"/>
      <c r="C1997" s="8"/>
      <c r="D1997" s="8"/>
      <c r="E1997" s="8"/>
    </row>
    <row r="1998" spans="1:5" x14ac:dyDescent="0.25">
      <c r="A1998" s="1" t="s">
        <v>1988</v>
      </c>
      <c r="B1998" s="8">
        <v>46216</v>
      </c>
      <c r="C1998" s="8">
        <v>45958</v>
      </c>
      <c r="D1998" s="8">
        <v>45563</v>
      </c>
      <c r="E1998" s="8">
        <v>45414</v>
      </c>
    </row>
    <row r="1999" spans="1:5" x14ac:dyDescent="0.25">
      <c r="A1999" s="1" t="s">
        <v>1989</v>
      </c>
      <c r="B1999" s="8">
        <v>46255</v>
      </c>
      <c r="C1999" s="8">
        <v>46106</v>
      </c>
      <c r="D1999" s="8">
        <v>45908</v>
      </c>
      <c r="E1999" s="8">
        <v>45775</v>
      </c>
    </row>
    <row r="2000" spans="1:5" x14ac:dyDescent="0.25">
      <c r="A2000" s="1" t="s">
        <v>1990</v>
      </c>
      <c r="B2000" s="8">
        <v>46095</v>
      </c>
      <c r="C2000" s="8">
        <v>45770</v>
      </c>
      <c r="D2000" s="8">
        <v>45084</v>
      </c>
      <c r="E2000" s="8"/>
    </row>
    <row r="2001" spans="1:5" x14ac:dyDescent="0.25">
      <c r="A2001" s="1" t="s">
        <v>1996</v>
      </c>
      <c r="B2001" s="8"/>
      <c r="C2001" s="8"/>
      <c r="D2001" s="8"/>
      <c r="E2001" s="8"/>
    </row>
    <row r="2002" spans="1:5" x14ac:dyDescent="0.25">
      <c r="A2002" s="1" t="s">
        <v>1991</v>
      </c>
      <c r="B2002" s="8"/>
      <c r="C2002" s="8"/>
      <c r="D2002" s="8"/>
      <c r="E2002" s="8"/>
    </row>
    <row r="2003" spans="1:5" x14ac:dyDescent="0.25">
      <c r="A2003" s="1" t="s">
        <v>1995</v>
      </c>
      <c r="B2003" s="8"/>
      <c r="C2003" s="8"/>
      <c r="D2003" s="8"/>
      <c r="E2003" s="8"/>
    </row>
    <row r="2004" spans="1:5" x14ac:dyDescent="0.25">
      <c r="A2004" s="1" t="s">
        <v>1997</v>
      </c>
      <c r="B2004" s="8"/>
      <c r="C2004" s="8"/>
      <c r="D2004" s="8"/>
      <c r="E2004" s="8"/>
    </row>
    <row r="2005" spans="1:5" x14ac:dyDescent="0.25">
      <c r="A2005" s="1" t="s">
        <v>1994</v>
      </c>
      <c r="B2005" s="8"/>
      <c r="C2005" s="8"/>
      <c r="D2005" s="8"/>
      <c r="E2005" s="8"/>
    </row>
    <row r="2006" spans="1:5" x14ac:dyDescent="0.25">
      <c r="A2006" s="1" t="s">
        <v>1992</v>
      </c>
      <c r="B2006" s="8"/>
      <c r="C2006" s="8"/>
      <c r="D2006" s="8"/>
      <c r="E2006" s="8"/>
    </row>
    <row r="2007" spans="1:5" x14ac:dyDescent="0.25">
      <c r="A2007" s="1" t="s">
        <v>1993</v>
      </c>
      <c r="B2007" s="8"/>
      <c r="C2007" s="8"/>
      <c r="D2007" s="8"/>
      <c r="E2007" s="8"/>
    </row>
    <row r="2008" spans="1:5" x14ac:dyDescent="0.25">
      <c r="A2008" s="1" t="s">
        <v>1998</v>
      </c>
      <c r="B2008" s="8"/>
      <c r="C2008" s="8"/>
      <c r="D2008" s="8"/>
      <c r="E2008" s="8"/>
    </row>
    <row r="2009" spans="1:5" x14ac:dyDescent="0.25">
      <c r="A2009" s="1" t="s">
        <v>1999</v>
      </c>
      <c r="B2009" s="8">
        <v>46157</v>
      </c>
      <c r="C2009" s="8">
        <v>46024</v>
      </c>
      <c r="D2009" s="8">
        <v>45798</v>
      </c>
      <c r="E2009" s="8">
        <v>45507</v>
      </c>
    </row>
    <row r="2010" spans="1:5" x14ac:dyDescent="0.25">
      <c r="A2010" s="1" t="s">
        <v>2000</v>
      </c>
      <c r="B2010" s="8">
        <v>46269</v>
      </c>
      <c r="C2010" s="8">
        <v>46148</v>
      </c>
      <c r="D2010" s="8">
        <v>45930</v>
      </c>
      <c r="E2010" s="8">
        <v>45765</v>
      </c>
    </row>
    <row r="2011" spans="1:5" x14ac:dyDescent="0.25">
      <c r="A2011" s="1" t="s">
        <v>2001</v>
      </c>
      <c r="B2011" s="8">
        <v>46277</v>
      </c>
      <c r="C2011" s="8">
        <v>46133</v>
      </c>
      <c r="D2011" s="8">
        <v>45958</v>
      </c>
      <c r="E2011" s="8">
        <v>45742</v>
      </c>
    </row>
    <row r="2012" spans="1:5" x14ac:dyDescent="0.25">
      <c r="A2012" s="1" t="s">
        <v>2002</v>
      </c>
      <c r="B2012" s="8">
        <v>46286</v>
      </c>
      <c r="C2012" s="8">
        <v>46061</v>
      </c>
      <c r="D2012" s="8">
        <v>45903</v>
      </c>
      <c r="E2012" s="8">
        <v>45701</v>
      </c>
    </row>
    <row r="2013" spans="1:5" x14ac:dyDescent="0.25">
      <c r="A2013" s="1" t="s">
        <v>2003</v>
      </c>
      <c r="B2013" s="8">
        <v>46316</v>
      </c>
      <c r="C2013" s="8">
        <v>46148</v>
      </c>
      <c r="D2013" s="8">
        <v>45985</v>
      </c>
      <c r="E2013" s="8">
        <v>45768</v>
      </c>
    </row>
    <row r="2014" spans="1:5" x14ac:dyDescent="0.25">
      <c r="A2014" s="1" t="s">
        <v>2004</v>
      </c>
      <c r="B2014" s="8">
        <v>46316</v>
      </c>
      <c r="C2014" s="8">
        <v>46148</v>
      </c>
      <c r="D2014" s="8">
        <v>45980</v>
      </c>
      <c r="E2014" s="8">
        <v>45765</v>
      </c>
    </row>
    <row r="2015" spans="1:5" x14ac:dyDescent="0.25">
      <c r="A2015" s="1" t="s">
        <v>2006</v>
      </c>
      <c r="B2015" s="8">
        <v>46269</v>
      </c>
      <c r="C2015" s="8">
        <v>46148</v>
      </c>
      <c r="D2015" s="8">
        <v>45930</v>
      </c>
      <c r="E2015" s="8">
        <v>45765</v>
      </c>
    </row>
    <row r="2016" spans="1:5" x14ac:dyDescent="0.25">
      <c r="A2016" s="1" t="s">
        <v>2007</v>
      </c>
      <c r="B2016" s="8">
        <v>46269</v>
      </c>
      <c r="C2016" s="8">
        <v>46148</v>
      </c>
      <c r="D2016" s="8">
        <v>45930</v>
      </c>
      <c r="E2016" s="8">
        <v>45765</v>
      </c>
    </row>
    <row r="2017" spans="1:5" x14ac:dyDescent="0.25">
      <c r="A2017" s="1" t="s">
        <v>2005</v>
      </c>
      <c r="B2017" s="8">
        <v>46269</v>
      </c>
      <c r="C2017" s="8">
        <v>46148</v>
      </c>
      <c r="D2017" s="8">
        <v>45930</v>
      </c>
      <c r="E2017" s="8">
        <v>45765</v>
      </c>
    </row>
    <row r="2018" spans="1:5" x14ac:dyDescent="0.25">
      <c r="A2018" s="1" t="s">
        <v>2008</v>
      </c>
      <c r="B2018" s="8">
        <v>46133</v>
      </c>
      <c r="C2018" s="8">
        <v>45974</v>
      </c>
      <c r="D2018" s="8">
        <v>45793</v>
      </c>
      <c r="E2018" s="8">
        <v>45590</v>
      </c>
    </row>
    <row r="2019" spans="1:5" x14ac:dyDescent="0.25">
      <c r="A2019" s="1" t="s">
        <v>2009</v>
      </c>
      <c r="B2019" s="8"/>
      <c r="C2019" s="8"/>
      <c r="D2019" s="8"/>
      <c r="E2019" s="8"/>
    </row>
    <row r="2020" spans="1:5" x14ac:dyDescent="0.25">
      <c r="A2020" s="1" t="s">
        <v>2010</v>
      </c>
      <c r="B2020" s="8"/>
      <c r="C2020" s="8"/>
      <c r="D2020" s="8"/>
      <c r="E2020" s="8"/>
    </row>
    <row r="2021" spans="1:5" x14ac:dyDescent="0.25">
      <c r="A2021" s="1" t="s">
        <v>2011</v>
      </c>
      <c r="B2021" s="8">
        <v>46147</v>
      </c>
      <c r="C2021" s="8">
        <v>46011</v>
      </c>
      <c r="D2021" s="8">
        <v>45827</v>
      </c>
      <c r="E2021" s="8">
        <v>45670</v>
      </c>
    </row>
    <row r="2022" spans="1:5" x14ac:dyDescent="0.25">
      <c r="A2022" s="1" t="s">
        <v>2012</v>
      </c>
      <c r="B2022" s="8"/>
      <c r="C2022" s="8"/>
      <c r="D2022" s="8"/>
      <c r="E2022" s="8"/>
    </row>
    <row r="2023" spans="1:5" x14ac:dyDescent="0.25">
      <c r="A2023" s="1" t="s">
        <v>2013</v>
      </c>
      <c r="B2023" s="8">
        <v>46160</v>
      </c>
      <c r="C2023" s="8">
        <v>45982</v>
      </c>
      <c r="D2023" s="8">
        <v>45793</v>
      </c>
      <c r="E2023" s="8">
        <v>45623</v>
      </c>
    </row>
    <row r="2024" spans="1:5" x14ac:dyDescent="0.25">
      <c r="A2024" s="1" t="s">
        <v>2014</v>
      </c>
      <c r="B2024" s="8">
        <v>46136</v>
      </c>
      <c r="C2024" s="8">
        <v>45982</v>
      </c>
      <c r="D2024" s="8">
        <v>45561</v>
      </c>
      <c r="E2024" s="8">
        <v>45441</v>
      </c>
    </row>
    <row r="2025" spans="1:5" x14ac:dyDescent="0.25">
      <c r="A2025" s="1" t="s">
        <v>2015</v>
      </c>
      <c r="B2025" s="8">
        <v>46021</v>
      </c>
      <c r="C2025" s="8">
        <v>45647</v>
      </c>
      <c r="D2025" s="8">
        <v>45388</v>
      </c>
      <c r="E2025" s="8">
        <v>45261</v>
      </c>
    </row>
    <row r="2026" spans="1:5" x14ac:dyDescent="0.25">
      <c r="A2026" s="1" t="s">
        <v>2016</v>
      </c>
      <c r="B2026" s="8">
        <v>46169</v>
      </c>
      <c r="C2026" s="8">
        <v>46015</v>
      </c>
      <c r="D2026" s="8">
        <v>45848</v>
      </c>
      <c r="E2026" s="8">
        <v>45645</v>
      </c>
    </row>
    <row r="2027" spans="1:5" x14ac:dyDescent="0.25">
      <c r="A2027" s="1" t="s">
        <v>2017</v>
      </c>
      <c r="B2027" s="8">
        <v>46193</v>
      </c>
      <c r="C2027" s="8">
        <v>46071</v>
      </c>
      <c r="D2027" s="8">
        <v>45967</v>
      </c>
      <c r="E2027" s="8">
        <v>45530</v>
      </c>
    </row>
    <row r="2028" spans="1:5" x14ac:dyDescent="0.25">
      <c r="A2028" s="1" t="s">
        <v>2018</v>
      </c>
      <c r="B2028" s="8">
        <v>46221</v>
      </c>
      <c r="C2028" s="8">
        <v>46034</v>
      </c>
      <c r="D2028" s="8">
        <v>45898</v>
      </c>
      <c r="E2028" s="8">
        <v>45766</v>
      </c>
    </row>
    <row r="2029" spans="1:5" x14ac:dyDescent="0.25">
      <c r="A2029" s="1" t="s">
        <v>2019</v>
      </c>
      <c r="B2029" s="8">
        <v>46149</v>
      </c>
      <c r="C2029" s="8">
        <v>46024</v>
      </c>
      <c r="D2029" s="8">
        <v>45798</v>
      </c>
      <c r="E2029" s="8">
        <v>45603</v>
      </c>
    </row>
    <row r="2030" spans="1:5" x14ac:dyDescent="0.25">
      <c r="A2030" s="1" t="s">
        <v>2021</v>
      </c>
      <c r="B2030" s="8"/>
      <c r="C2030" s="8"/>
      <c r="D2030" s="8"/>
      <c r="E2030" s="8"/>
    </row>
    <row r="2031" spans="1:5" x14ac:dyDescent="0.25">
      <c r="A2031" s="1" t="s">
        <v>2020</v>
      </c>
      <c r="B2031" s="8">
        <v>46252</v>
      </c>
      <c r="C2031" s="8">
        <v>46031</v>
      </c>
      <c r="D2031" s="8">
        <v>45798</v>
      </c>
      <c r="E2031" s="8">
        <v>45622</v>
      </c>
    </row>
    <row r="2032" spans="1:5" x14ac:dyDescent="0.25">
      <c r="A2032" s="1" t="s">
        <v>2022</v>
      </c>
      <c r="B2032" s="8">
        <v>46298</v>
      </c>
      <c r="C2032" s="8">
        <v>46069</v>
      </c>
      <c r="D2032" s="8">
        <v>45922</v>
      </c>
      <c r="E2032" s="8">
        <v>45687</v>
      </c>
    </row>
    <row r="2033" spans="1:5" x14ac:dyDescent="0.25">
      <c r="A2033" s="1" t="s">
        <v>2023</v>
      </c>
      <c r="B2033" s="8">
        <v>46311</v>
      </c>
      <c r="C2033" s="8">
        <v>46147</v>
      </c>
      <c r="D2033" s="8">
        <v>45960</v>
      </c>
      <c r="E2033" s="8">
        <v>45789</v>
      </c>
    </row>
    <row r="2034" spans="1:5" x14ac:dyDescent="0.25">
      <c r="A2034" s="1" t="s">
        <v>2024</v>
      </c>
      <c r="B2034" s="8"/>
      <c r="C2034" s="8"/>
      <c r="D2034" s="8"/>
      <c r="E2034" s="8"/>
    </row>
    <row r="2035" spans="1:5" x14ac:dyDescent="0.25">
      <c r="A2035" s="1" t="s">
        <v>2025</v>
      </c>
      <c r="B2035" s="8"/>
      <c r="C2035" s="8"/>
      <c r="D2035" s="8"/>
      <c r="E2035" s="8"/>
    </row>
    <row r="2036" spans="1:5" x14ac:dyDescent="0.25">
      <c r="A2036" s="1" t="s">
        <v>2026</v>
      </c>
      <c r="B2036" s="8">
        <v>46284</v>
      </c>
      <c r="C2036" s="8">
        <v>46136</v>
      </c>
      <c r="D2036" s="8">
        <v>45849</v>
      </c>
      <c r="E2036" s="8">
        <v>45735</v>
      </c>
    </row>
    <row r="2037" spans="1:5" x14ac:dyDescent="0.25">
      <c r="A2037" s="1" t="s">
        <v>2027</v>
      </c>
      <c r="B2037" s="8">
        <v>46150</v>
      </c>
      <c r="C2037" s="8">
        <v>46024</v>
      </c>
      <c r="D2037" s="8">
        <v>45635</v>
      </c>
      <c r="E2037" s="8">
        <v>45465</v>
      </c>
    </row>
    <row r="2038" spans="1:5" x14ac:dyDescent="0.25">
      <c r="A2038" s="1" t="s">
        <v>2028</v>
      </c>
      <c r="B2038" s="8">
        <v>46191</v>
      </c>
      <c r="C2038" s="8">
        <v>46059</v>
      </c>
      <c r="D2038" s="8">
        <v>46041</v>
      </c>
      <c r="E2038" s="8">
        <v>45873</v>
      </c>
    </row>
    <row r="2039" spans="1:5" x14ac:dyDescent="0.25">
      <c r="A2039" s="1" t="s">
        <v>2029</v>
      </c>
      <c r="B2039" s="8"/>
      <c r="C2039" s="8"/>
      <c r="D2039" s="8"/>
      <c r="E2039" s="8"/>
    </row>
    <row r="2040" spans="1:5" x14ac:dyDescent="0.25">
      <c r="A2040" s="1" t="s">
        <v>2030</v>
      </c>
      <c r="B2040" s="8">
        <v>46269</v>
      </c>
      <c r="C2040" s="8">
        <v>45738</v>
      </c>
      <c r="D2040" s="8">
        <v>45582</v>
      </c>
      <c r="E2040" s="8">
        <v>45391</v>
      </c>
    </row>
    <row r="2041" spans="1:5" x14ac:dyDescent="0.25">
      <c r="A2041" s="1" t="s">
        <v>2031</v>
      </c>
      <c r="B2041" s="8">
        <v>46286</v>
      </c>
      <c r="C2041" s="8">
        <v>46060</v>
      </c>
      <c r="D2041" s="8">
        <v>45903</v>
      </c>
      <c r="E2041" s="8">
        <v>45701</v>
      </c>
    </row>
    <row r="2042" spans="1:5" x14ac:dyDescent="0.25">
      <c r="A2042" s="1" t="s">
        <v>2033</v>
      </c>
      <c r="B2042" s="8">
        <v>45122</v>
      </c>
      <c r="C2042" s="8"/>
      <c r="D2042" s="8"/>
      <c r="E2042" s="8"/>
    </row>
    <row r="2043" spans="1:5" x14ac:dyDescent="0.25">
      <c r="A2043" s="1" t="s">
        <v>2032</v>
      </c>
      <c r="B2043" s="8"/>
      <c r="C2043" s="8"/>
      <c r="D2043" s="8"/>
      <c r="E2043" s="8"/>
    </row>
    <row r="2044" spans="1:5" x14ac:dyDescent="0.25">
      <c r="A2044" s="1" t="s">
        <v>2038</v>
      </c>
      <c r="B2044" s="8"/>
      <c r="C2044" s="8"/>
      <c r="D2044" s="8"/>
      <c r="E2044" s="8"/>
    </row>
    <row r="2045" spans="1:5" x14ac:dyDescent="0.25">
      <c r="A2045" s="1" t="s">
        <v>2043</v>
      </c>
      <c r="B2045" s="8"/>
      <c r="C2045" s="8"/>
      <c r="D2045" s="8"/>
      <c r="E2045" s="8"/>
    </row>
    <row r="2046" spans="1:5" x14ac:dyDescent="0.25">
      <c r="A2046" s="1" t="s">
        <v>2034</v>
      </c>
      <c r="B2046" s="8"/>
      <c r="C2046" s="8"/>
      <c r="D2046" s="8"/>
      <c r="E2046" s="8"/>
    </row>
    <row r="2047" spans="1:5" x14ac:dyDescent="0.25">
      <c r="A2047" s="1" t="s">
        <v>2042</v>
      </c>
      <c r="B2047" s="8"/>
      <c r="C2047" s="8"/>
      <c r="D2047" s="8"/>
      <c r="E2047" s="8"/>
    </row>
    <row r="2048" spans="1:5" x14ac:dyDescent="0.25">
      <c r="A2048" s="1" t="s">
        <v>2040</v>
      </c>
      <c r="B2048" s="8"/>
      <c r="C2048" s="8"/>
      <c r="D2048" s="8"/>
      <c r="E2048" s="8"/>
    </row>
    <row r="2049" spans="1:5" x14ac:dyDescent="0.25">
      <c r="A2049" s="1" t="s">
        <v>2037</v>
      </c>
      <c r="B2049" s="8"/>
      <c r="C2049" s="8"/>
      <c r="D2049" s="8"/>
      <c r="E2049" s="8"/>
    </row>
    <row r="2050" spans="1:5" x14ac:dyDescent="0.25">
      <c r="A2050" s="1" t="s">
        <v>2039</v>
      </c>
      <c r="B2050" s="8"/>
      <c r="C2050" s="8"/>
      <c r="D2050" s="8"/>
      <c r="E2050" s="8"/>
    </row>
    <row r="2051" spans="1:5" x14ac:dyDescent="0.25">
      <c r="A2051" s="1" t="s">
        <v>2041</v>
      </c>
      <c r="B2051" s="8"/>
      <c r="C2051" s="8"/>
      <c r="D2051" s="8"/>
      <c r="E2051" s="8"/>
    </row>
    <row r="2052" spans="1:5" x14ac:dyDescent="0.25">
      <c r="A2052" s="1" t="s">
        <v>2035</v>
      </c>
      <c r="B2052" s="8"/>
      <c r="C2052" s="8"/>
      <c r="D2052" s="8"/>
      <c r="E2052" s="8"/>
    </row>
    <row r="2053" spans="1:5" x14ac:dyDescent="0.25">
      <c r="A2053" s="1" t="s">
        <v>2036</v>
      </c>
      <c r="B2053" s="8"/>
      <c r="C2053" s="8"/>
      <c r="D2053" s="8"/>
      <c r="E2053" s="8"/>
    </row>
    <row r="2054" spans="1:5" x14ac:dyDescent="0.25">
      <c r="A2054" s="1" t="s">
        <v>2044</v>
      </c>
      <c r="B2054" s="8"/>
      <c r="C2054" s="8"/>
      <c r="D2054" s="8"/>
      <c r="E2054" s="8"/>
    </row>
    <row r="2055" spans="1:5" x14ac:dyDescent="0.25">
      <c r="A2055" s="1" t="s">
        <v>2045</v>
      </c>
      <c r="B2055" s="8">
        <v>46312</v>
      </c>
      <c r="C2055" s="8">
        <v>46130</v>
      </c>
      <c r="D2055" s="8">
        <v>45960</v>
      </c>
      <c r="E2055" s="8">
        <v>45797</v>
      </c>
    </row>
    <row r="2056" spans="1:5" x14ac:dyDescent="0.25">
      <c r="A2056" s="1" t="s">
        <v>2046</v>
      </c>
      <c r="B2056" s="8"/>
      <c r="C2056" s="8"/>
      <c r="D2056" s="8"/>
      <c r="E2056" s="8"/>
    </row>
    <row r="2057" spans="1:5" x14ac:dyDescent="0.25">
      <c r="A2057" s="1" t="s">
        <v>2047</v>
      </c>
      <c r="B2057" s="8"/>
      <c r="C2057" s="8"/>
      <c r="D2057" s="8"/>
      <c r="E2057" s="8"/>
    </row>
    <row r="2058" spans="1:5" x14ac:dyDescent="0.25">
      <c r="A2058" s="1" t="s">
        <v>2052</v>
      </c>
      <c r="B2058" s="8"/>
      <c r="C2058" s="8"/>
      <c r="D2058" s="8"/>
      <c r="E2058" s="8"/>
    </row>
    <row r="2059" spans="1:5" x14ac:dyDescent="0.25">
      <c r="A2059" s="1" t="s">
        <v>2048</v>
      </c>
      <c r="B2059" s="8"/>
      <c r="C2059" s="8"/>
      <c r="D2059" s="8"/>
      <c r="E2059" s="8"/>
    </row>
    <row r="2060" spans="1:5" x14ac:dyDescent="0.25">
      <c r="A2060" s="1" t="s">
        <v>2050</v>
      </c>
      <c r="B2060" s="8"/>
      <c r="C2060" s="8"/>
      <c r="D2060" s="8"/>
      <c r="E2060" s="8"/>
    </row>
    <row r="2061" spans="1:5" x14ac:dyDescent="0.25">
      <c r="A2061" s="1" t="s">
        <v>2049</v>
      </c>
      <c r="B2061" s="8">
        <v>45511</v>
      </c>
      <c r="C2061" s="8">
        <v>45373</v>
      </c>
      <c r="D2061" s="8">
        <v>45136</v>
      </c>
      <c r="E2061" s="8">
        <v>44989</v>
      </c>
    </row>
    <row r="2062" spans="1:5" x14ac:dyDescent="0.25">
      <c r="A2062" s="1" t="s">
        <v>2051</v>
      </c>
      <c r="B2062" s="8"/>
      <c r="C2062" s="8"/>
      <c r="D2062" s="8"/>
      <c r="E2062" s="8"/>
    </row>
    <row r="2063" spans="1:5" x14ac:dyDescent="0.25">
      <c r="A2063" s="1" t="s">
        <v>2053</v>
      </c>
      <c r="B2063" s="8">
        <v>46148</v>
      </c>
      <c r="C2063" s="8">
        <v>46009</v>
      </c>
      <c r="D2063" s="8">
        <v>45829</v>
      </c>
      <c r="E2063" s="8">
        <v>45677</v>
      </c>
    </row>
    <row r="2064" spans="1:5" x14ac:dyDescent="0.25">
      <c r="A2064" s="1" t="s">
        <v>2054</v>
      </c>
      <c r="B2064" s="8"/>
      <c r="C2064" s="8"/>
      <c r="D2064" s="8"/>
      <c r="E2064" s="8"/>
    </row>
    <row r="2065" spans="1:5" x14ac:dyDescent="0.25">
      <c r="A2065" s="1" t="s">
        <v>2055</v>
      </c>
      <c r="B2065" s="8">
        <v>46150</v>
      </c>
      <c r="C2065" s="8">
        <v>45943</v>
      </c>
      <c r="D2065" s="8">
        <v>45800</v>
      </c>
      <c r="E2065" s="8">
        <v>45574</v>
      </c>
    </row>
    <row r="2066" spans="1:5" x14ac:dyDescent="0.25">
      <c r="A2066" s="1" t="s">
        <v>2056</v>
      </c>
      <c r="B2066" s="8"/>
      <c r="C2066" s="8"/>
      <c r="D2066" s="8"/>
      <c r="E2066" s="8"/>
    </row>
    <row r="2067" spans="1:5" x14ac:dyDescent="0.25">
      <c r="A2067" s="1" t="s">
        <v>2057</v>
      </c>
      <c r="B2067" s="8">
        <v>46294</v>
      </c>
      <c r="C2067" s="8">
        <v>46141</v>
      </c>
      <c r="D2067" s="8">
        <v>46046</v>
      </c>
      <c r="E2067" s="8">
        <v>45819</v>
      </c>
    </row>
    <row r="2068" spans="1:5" x14ac:dyDescent="0.25">
      <c r="A2068" s="1" t="s">
        <v>2058</v>
      </c>
      <c r="B2068" s="8"/>
      <c r="C2068" s="8"/>
      <c r="D2068" s="8"/>
      <c r="E2068" s="8"/>
    </row>
    <row r="2069" spans="1:5" x14ac:dyDescent="0.25">
      <c r="A2069" s="1" t="s">
        <v>2059</v>
      </c>
      <c r="B2069" s="8"/>
      <c r="C2069" s="8"/>
      <c r="D2069" s="8"/>
      <c r="E2069" s="8"/>
    </row>
    <row r="2070" spans="1:5" x14ac:dyDescent="0.25">
      <c r="A2070" s="1" t="s">
        <v>2060</v>
      </c>
      <c r="B2070" s="8">
        <v>46162</v>
      </c>
      <c r="C2070" s="8">
        <v>45988</v>
      </c>
      <c r="D2070" s="8">
        <v>45795</v>
      </c>
      <c r="E2070" s="8">
        <v>45672</v>
      </c>
    </row>
    <row r="2071" spans="1:5" x14ac:dyDescent="0.25">
      <c r="A2071" s="1" t="s">
        <v>2061</v>
      </c>
      <c r="B2071" s="8">
        <v>46255</v>
      </c>
      <c r="C2071" s="8">
        <v>46051</v>
      </c>
      <c r="D2071" s="8">
        <v>45871</v>
      </c>
      <c r="E2071" s="8">
        <v>45717</v>
      </c>
    </row>
    <row r="2072" spans="1:5" x14ac:dyDescent="0.25">
      <c r="A2072" s="1" t="s">
        <v>2062</v>
      </c>
      <c r="B2072" s="8">
        <v>45821</v>
      </c>
      <c r="C2072" s="8">
        <v>45688</v>
      </c>
      <c r="D2072" s="8">
        <v>45489</v>
      </c>
      <c r="E2072" s="8">
        <v>45316</v>
      </c>
    </row>
    <row r="2073" spans="1:5" x14ac:dyDescent="0.25">
      <c r="A2073" s="1" t="s">
        <v>2063</v>
      </c>
      <c r="B2073" s="8">
        <v>46255</v>
      </c>
      <c r="C2073" s="8">
        <v>46051</v>
      </c>
      <c r="D2073" s="8">
        <v>45870</v>
      </c>
      <c r="E2073" s="8">
        <v>45717</v>
      </c>
    </row>
    <row r="2074" spans="1:5" x14ac:dyDescent="0.25">
      <c r="A2074" s="1" t="s">
        <v>2064</v>
      </c>
      <c r="B2074" s="8"/>
      <c r="C2074" s="8"/>
      <c r="D2074" s="8"/>
      <c r="E2074" s="8"/>
    </row>
    <row r="2075" spans="1:5" x14ac:dyDescent="0.25">
      <c r="A2075" s="1" t="s">
        <v>2065</v>
      </c>
      <c r="B2075" s="8">
        <v>46248</v>
      </c>
      <c r="C2075" s="8">
        <v>46146</v>
      </c>
      <c r="D2075" s="8">
        <v>45980</v>
      </c>
      <c r="E2075" s="8">
        <v>45794</v>
      </c>
    </row>
    <row r="2076" spans="1:5" x14ac:dyDescent="0.25">
      <c r="A2076" s="1" t="s">
        <v>2066</v>
      </c>
      <c r="B2076" s="8">
        <v>46268</v>
      </c>
      <c r="C2076" s="8">
        <v>46108</v>
      </c>
      <c r="D2076" s="8">
        <v>45920</v>
      </c>
      <c r="E2076" s="8">
        <v>45744</v>
      </c>
    </row>
    <row r="2077" spans="1:5" x14ac:dyDescent="0.25">
      <c r="A2077" s="1" t="s">
        <v>2654</v>
      </c>
      <c r="B2077" s="8"/>
      <c r="C2077" s="8"/>
      <c r="D2077" s="8"/>
      <c r="E2077" s="8"/>
    </row>
    <row r="2078" spans="1:5" x14ac:dyDescent="0.25">
      <c r="A2078" s="1" t="s">
        <v>2067</v>
      </c>
      <c r="B2078" s="8">
        <v>46170</v>
      </c>
      <c r="C2078" s="8">
        <v>45988</v>
      </c>
      <c r="D2078" s="8">
        <v>45942</v>
      </c>
      <c r="E2078" s="8">
        <v>45798</v>
      </c>
    </row>
    <row r="2079" spans="1:5" x14ac:dyDescent="0.25">
      <c r="A2079" s="1" t="s">
        <v>2068</v>
      </c>
      <c r="B2079" s="8">
        <v>45689</v>
      </c>
      <c r="C2079" s="8">
        <v>45479</v>
      </c>
      <c r="D2079" s="8">
        <v>45350</v>
      </c>
      <c r="E2079" s="8"/>
    </row>
    <row r="2080" spans="1:5" x14ac:dyDescent="0.25">
      <c r="A2080" s="1" t="s">
        <v>2069</v>
      </c>
      <c r="B2080" s="8"/>
      <c r="C2080" s="8"/>
      <c r="D2080" s="8"/>
      <c r="E2080" s="8"/>
    </row>
    <row r="2081" spans="1:5" x14ac:dyDescent="0.25">
      <c r="A2081" s="1" t="s">
        <v>2080</v>
      </c>
      <c r="B2081" s="8"/>
      <c r="C2081" s="8"/>
      <c r="D2081" s="8"/>
      <c r="E2081" s="8"/>
    </row>
    <row r="2082" spans="1:5" x14ac:dyDescent="0.25">
      <c r="A2082" s="1" t="s">
        <v>2079</v>
      </c>
      <c r="B2082" s="8"/>
      <c r="C2082" s="8"/>
      <c r="D2082" s="8"/>
      <c r="E2082" s="8"/>
    </row>
    <row r="2083" spans="1:5" x14ac:dyDescent="0.25">
      <c r="A2083" s="1" t="s">
        <v>2083</v>
      </c>
      <c r="B2083" s="8"/>
      <c r="C2083" s="8"/>
      <c r="D2083" s="8"/>
      <c r="E2083" s="8"/>
    </row>
    <row r="2084" spans="1:5" x14ac:dyDescent="0.25">
      <c r="A2084" s="1" t="s">
        <v>2078</v>
      </c>
      <c r="B2084" s="8"/>
      <c r="C2084" s="8"/>
      <c r="D2084" s="8"/>
      <c r="E2084" s="8"/>
    </row>
    <row r="2085" spans="1:5" x14ac:dyDescent="0.25">
      <c r="A2085" s="1" t="s">
        <v>2076</v>
      </c>
      <c r="B2085" s="8"/>
      <c r="C2085" s="8"/>
      <c r="D2085" s="8"/>
      <c r="E2085" s="8"/>
    </row>
    <row r="2086" spans="1:5" x14ac:dyDescent="0.25">
      <c r="A2086" s="1" t="s">
        <v>2082</v>
      </c>
      <c r="B2086" s="8"/>
      <c r="C2086" s="8"/>
      <c r="D2086" s="8"/>
      <c r="E2086" s="8"/>
    </row>
    <row r="2087" spans="1:5" x14ac:dyDescent="0.25">
      <c r="A2087" s="1" t="s">
        <v>2070</v>
      </c>
      <c r="B2087" s="8"/>
      <c r="C2087" s="8"/>
      <c r="D2087" s="8"/>
      <c r="E2087" s="8"/>
    </row>
    <row r="2088" spans="1:5" x14ac:dyDescent="0.25">
      <c r="A2088" s="1" t="s">
        <v>2073</v>
      </c>
      <c r="B2088" s="8"/>
      <c r="C2088" s="8"/>
      <c r="D2088" s="8"/>
      <c r="E2088" s="8"/>
    </row>
    <row r="2089" spans="1:5" x14ac:dyDescent="0.25">
      <c r="A2089" s="1" t="s">
        <v>2072</v>
      </c>
      <c r="B2089" s="8"/>
      <c r="C2089" s="8"/>
      <c r="D2089" s="8"/>
      <c r="E2089" s="8"/>
    </row>
    <row r="2090" spans="1:5" x14ac:dyDescent="0.25">
      <c r="A2090" s="1" t="s">
        <v>2075</v>
      </c>
      <c r="B2090" s="8"/>
      <c r="C2090" s="8"/>
      <c r="D2090" s="8"/>
      <c r="E2090" s="8"/>
    </row>
    <row r="2091" spans="1:5" x14ac:dyDescent="0.25">
      <c r="A2091" s="1" t="s">
        <v>2074</v>
      </c>
      <c r="B2091" s="8"/>
      <c r="C2091" s="8"/>
      <c r="D2091" s="8"/>
      <c r="E2091" s="8"/>
    </row>
    <row r="2092" spans="1:5" x14ac:dyDescent="0.25">
      <c r="A2092" s="1" t="s">
        <v>2081</v>
      </c>
      <c r="B2092" s="8"/>
      <c r="C2092" s="8"/>
      <c r="D2092" s="8"/>
      <c r="E2092" s="8"/>
    </row>
    <row r="2093" spans="1:5" x14ac:dyDescent="0.25">
      <c r="A2093" s="1" t="s">
        <v>2077</v>
      </c>
      <c r="B2093" s="8"/>
      <c r="C2093" s="8"/>
      <c r="D2093" s="8"/>
      <c r="E2093" s="8"/>
    </row>
    <row r="2094" spans="1:5" x14ac:dyDescent="0.25">
      <c r="A2094" s="1" t="s">
        <v>2071</v>
      </c>
      <c r="B2094" s="8"/>
      <c r="C2094" s="8"/>
      <c r="D2094" s="8"/>
      <c r="E2094" s="8"/>
    </row>
    <row r="2095" spans="1:5" x14ac:dyDescent="0.25">
      <c r="A2095" s="1" t="s">
        <v>2084</v>
      </c>
      <c r="B2095" s="8">
        <v>45971</v>
      </c>
      <c r="C2095" s="8">
        <v>45915</v>
      </c>
      <c r="D2095" s="8">
        <v>45749</v>
      </c>
      <c r="E2095" s="8">
        <v>45505</v>
      </c>
    </row>
    <row r="2096" spans="1:5" x14ac:dyDescent="0.25">
      <c r="A2096" s="1" t="s">
        <v>2085</v>
      </c>
      <c r="B2096" s="8"/>
      <c r="C2096" s="8"/>
      <c r="D2096" s="8"/>
      <c r="E2096" s="8"/>
    </row>
    <row r="2097" spans="1:5" x14ac:dyDescent="0.25">
      <c r="A2097" s="1" t="s">
        <v>2157</v>
      </c>
      <c r="B2097" s="8">
        <v>46147</v>
      </c>
      <c r="C2097" s="8">
        <v>46024</v>
      </c>
      <c r="D2097" s="8">
        <v>45818</v>
      </c>
      <c r="E2097" s="8">
        <v>45642</v>
      </c>
    </row>
    <row r="2098" spans="1:5" x14ac:dyDescent="0.25">
      <c r="A2098" s="1" t="s">
        <v>2112</v>
      </c>
      <c r="B2098" s="8">
        <v>45947</v>
      </c>
      <c r="C2098" s="8">
        <v>45714</v>
      </c>
      <c r="D2098" s="8"/>
      <c r="E2098" s="8"/>
    </row>
    <row r="2099" spans="1:5" x14ac:dyDescent="0.25">
      <c r="A2099" s="1" t="s">
        <v>2160</v>
      </c>
      <c r="B2099" s="8"/>
      <c r="C2099" s="8"/>
      <c r="D2099" s="8"/>
      <c r="E2099" s="8"/>
    </row>
    <row r="2100" spans="1:5" x14ac:dyDescent="0.25">
      <c r="A2100" s="1" t="s">
        <v>2090</v>
      </c>
      <c r="B2100" s="8">
        <v>46308</v>
      </c>
      <c r="C2100" s="8">
        <v>46105</v>
      </c>
      <c r="D2100" s="8">
        <v>45934</v>
      </c>
      <c r="E2100" s="8">
        <v>45628</v>
      </c>
    </row>
    <row r="2101" spans="1:5" x14ac:dyDescent="0.25">
      <c r="A2101" s="1" t="s">
        <v>2144</v>
      </c>
      <c r="B2101" s="8">
        <v>46303</v>
      </c>
      <c r="C2101" s="8">
        <v>46105</v>
      </c>
      <c r="D2101" s="8">
        <v>45920</v>
      </c>
      <c r="E2101" s="8">
        <v>45628</v>
      </c>
    </row>
    <row r="2102" spans="1:5" x14ac:dyDescent="0.25">
      <c r="A2102" s="1" t="s">
        <v>2153</v>
      </c>
      <c r="B2102" s="8">
        <v>46199</v>
      </c>
      <c r="C2102" s="8">
        <v>45993</v>
      </c>
      <c r="D2102" s="8">
        <v>45832</v>
      </c>
      <c r="E2102" s="8">
        <v>45567</v>
      </c>
    </row>
    <row r="2103" spans="1:5" x14ac:dyDescent="0.25">
      <c r="A2103" s="1" t="s">
        <v>2103</v>
      </c>
      <c r="B2103" s="8">
        <v>46202</v>
      </c>
      <c r="C2103" s="8">
        <v>46200</v>
      </c>
      <c r="D2103" s="8">
        <v>46003</v>
      </c>
      <c r="E2103" s="8">
        <v>45835</v>
      </c>
    </row>
    <row r="2104" spans="1:5" x14ac:dyDescent="0.25">
      <c r="A2104" s="1" t="s">
        <v>2148</v>
      </c>
      <c r="B2104" s="8">
        <v>46162</v>
      </c>
      <c r="C2104" s="8">
        <v>45861</v>
      </c>
      <c r="D2104" s="8">
        <v>45714</v>
      </c>
      <c r="E2104" s="8">
        <v>45618</v>
      </c>
    </row>
    <row r="2105" spans="1:5" x14ac:dyDescent="0.25">
      <c r="A2105" s="1" t="s">
        <v>2138</v>
      </c>
      <c r="B2105" s="8">
        <v>46302</v>
      </c>
      <c r="C2105" s="8">
        <v>46010</v>
      </c>
      <c r="D2105" s="8">
        <v>45876</v>
      </c>
      <c r="E2105" s="8">
        <v>45693</v>
      </c>
    </row>
    <row r="2106" spans="1:5" x14ac:dyDescent="0.25">
      <c r="A2106" s="1" t="s">
        <v>2115</v>
      </c>
      <c r="B2106" s="8">
        <v>46266</v>
      </c>
      <c r="C2106" s="8">
        <v>46034</v>
      </c>
      <c r="D2106" s="8">
        <v>45880</v>
      </c>
      <c r="E2106" s="8">
        <v>45663</v>
      </c>
    </row>
    <row r="2107" spans="1:5" x14ac:dyDescent="0.25">
      <c r="A2107" s="1" t="s">
        <v>2135</v>
      </c>
      <c r="B2107" s="8">
        <v>46239</v>
      </c>
      <c r="C2107" s="8">
        <v>46101</v>
      </c>
      <c r="D2107" s="8">
        <v>45882</v>
      </c>
      <c r="E2107" s="8">
        <v>45703</v>
      </c>
    </row>
    <row r="2108" spans="1:5" x14ac:dyDescent="0.25">
      <c r="A2108" s="1" t="s">
        <v>2141</v>
      </c>
      <c r="B2108" s="8">
        <v>46205</v>
      </c>
      <c r="C2108" s="8">
        <v>46030</v>
      </c>
      <c r="D2108" s="8">
        <v>45846</v>
      </c>
      <c r="E2108" s="8">
        <v>45660</v>
      </c>
    </row>
    <row r="2109" spans="1:5" x14ac:dyDescent="0.25">
      <c r="A2109" s="1" t="s">
        <v>2099</v>
      </c>
      <c r="B2109" s="8">
        <v>46259</v>
      </c>
      <c r="C2109" s="8">
        <v>46129</v>
      </c>
      <c r="D2109" s="8">
        <v>45926</v>
      </c>
      <c r="E2109" s="8">
        <v>45709</v>
      </c>
    </row>
    <row r="2110" spans="1:5" x14ac:dyDescent="0.25">
      <c r="A2110" s="1" t="s">
        <v>2154</v>
      </c>
      <c r="B2110" s="8">
        <v>46269</v>
      </c>
      <c r="C2110" s="8">
        <v>46129</v>
      </c>
      <c r="D2110" s="8">
        <v>45926</v>
      </c>
      <c r="E2110" s="8">
        <v>45608</v>
      </c>
    </row>
    <row r="2111" spans="1:5" x14ac:dyDescent="0.25">
      <c r="A2111" s="1" t="s">
        <v>2094</v>
      </c>
      <c r="B2111" s="8">
        <v>46273</v>
      </c>
      <c r="C2111" s="8">
        <v>46130</v>
      </c>
      <c r="D2111" s="8">
        <v>45817</v>
      </c>
      <c r="E2111" s="8">
        <v>45568</v>
      </c>
    </row>
    <row r="2112" spans="1:5" x14ac:dyDescent="0.25">
      <c r="A2112" s="1" t="s">
        <v>2142</v>
      </c>
      <c r="B2112" s="8"/>
      <c r="C2112" s="8"/>
      <c r="D2112" s="8"/>
      <c r="E2112" s="8"/>
    </row>
    <row r="2113" spans="1:5" x14ac:dyDescent="0.25">
      <c r="A2113" s="1" t="s">
        <v>2110</v>
      </c>
      <c r="B2113" s="8">
        <v>46268</v>
      </c>
      <c r="C2113" s="8">
        <v>46108</v>
      </c>
      <c r="D2113" s="8">
        <v>45940</v>
      </c>
      <c r="E2113" s="8">
        <v>45744</v>
      </c>
    </row>
    <row r="2114" spans="1:5" x14ac:dyDescent="0.25">
      <c r="A2114" s="1" t="s">
        <v>2147</v>
      </c>
      <c r="B2114" s="8">
        <v>45993</v>
      </c>
      <c r="C2114" s="8">
        <v>45831</v>
      </c>
      <c r="D2114" s="8">
        <v>45485</v>
      </c>
      <c r="E2114" s="8">
        <v>45334</v>
      </c>
    </row>
    <row r="2115" spans="1:5" x14ac:dyDescent="0.25">
      <c r="A2115" s="1" t="s">
        <v>2116</v>
      </c>
      <c r="B2115" s="8">
        <v>46190</v>
      </c>
      <c r="C2115" s="8">
        <v>46109</v>
      </c>
      <c r="D2115" s="8">
        <v>45918</v>
      </c>
      <c r="E2115" s="8">
        <v>45898</v>
      </c>
    </row>
    <row r="2116" spans="1:5" x14ac:dyDescent="0.25">
      <c r="A2116" s="1" t="s">
        <v>2089</v>
      </c>
      <c r="B2116" s="8">
        <v>46059</v>
      </c>
      <c r="C2116" s="8">
        <v>45908</v>
      </c>
      <c r="D2116" s="8">
        <v>45686</v>
      </c>
      <c r="E2116" s="8">
        <v>45622</v>
      </c>
    </row>
    <row r="2117" spans="1:5" x14ac:dyDescent="0.25">
      <c r="A2117" s="1" t="s">
        <v>2131</v>
      </c>
      <c r="B2117" s="8">
        <v>45793</v>
      </c>
      <c r="C2117" s="8">
        <v>45706</v>
      </c>
      <c r="D2117" s="8">
        <v>45664</v>
      </c>
      <c r="E2117" s="8">
        <v>45503</v>
      </c>
    </row>
    <row r="2118" spans="1:5" x14ac:dyDescent="0.25">
      <c r="A2118" s="1" t="s">
        <v>2108</v>
      </c>
      <c r="B2118" s="8">
        <v>46294</v>
      </c>
      <c r="C2118" s="8">
        <v>46144</v>
      </c>
      <c r="D2118" s="8">
        <v>46056</v>
      </c>
      <c r="E2118" s="8">
        <v>45908</v>
      </c>
    </row>
    <row r="2119" spans="1:5" x14ac:dyDescent="0.25">
      <c r="A2119" s="1" t="s">
        <v>2105</v>
      </c>
      <c r="B2119" s="8">
        <v>46210</v>
      </c>
      <c r="C2119" s="8">
        <v>46010</v>
      </c>
      <c r="D2119" s="8">
        <v>45863</v>
      </c>
      <c r="E2119" s="8">
        <v>45775</v>
      </c>
    </row>
    <row r="2120" spans="1:5" x14ac:dyDescent="0.25">
      <c r="A2120" s="1" t="s">
        <v>2107</v>
      </c>
      <c r="B2120" s="8">
        <v>46177</v>
      </c>
      <c r="C2120" s="8">
        <v>46106</v>
      </c>
      <c r="D2120" s="8">
        <v>45968</v>
      </c>
      <c r="E2120" s="8">
        <v>45747</v>
      </c>
    </row>
    <row r="2121" spans="1:5" x14ac:dyDescent="0.25">
      <c r="A2121" s="1" t="s">
        <v>2086</v>
      </c>
      <c r="B2121" s="8">
        <v>46300</v>
      </c>
      <c r="C2121" s="8">
        <v>46144</v>
      </c>
      <c r="D2121" s="8">
        <v>45925</v>
      </c>
      <c r="E2121" s="8">
        <v>45703</v>
      </c>
    </row>
    <row r="2122" spans="1:5" x14ac:dyDescent="0.25">
      <c r="A2122" s="1" t="s">
        <v>2119</v>
      </c>
      <c r="B2122" s="8">
        <v>46078</v>
      </c>
      <c r="C2122" s="8">
        <v>46077</v>
      </c>
      <c r="D2122" s="8">
        <v>45804</v>
      </c>
      <c r="E2122" s="8">
        <v>45449</v>
      </c>
    </row>
    <row r="2123" spans="1:5" x14ac:dyDescent="0.25">
      <c r="A2123" s="1" t="s">
        <v>2125</v>
      </c>
      <c r="B2123" s="8">
        <v>46203</v>
      </c>
      <c r="C2123" s="8">
        <v>45996</v>
      </c>
      <c r="D2123" s="8">
        <v>45831</v>
      </c>
      <c r="E2123" s="8">
        <v>45567</v>
      </c>
    </row>
    <row r="2124" spans="1:5" x14ac:dyDescent="0.25">
      <c r="A2124" s="1" t="s">
        <v>2088</v>
      </c>
      <c r="B2124" s="8">
        <v>46066</v>
      </c>
      <c r="C2124" s="8">
        <v>45908</v>
      </c>
      <c r="D2124" s="8">
        <v>45738</v>
      </c>
      <c r="E2124" s="8">
        <v>45583</v>
      </c>
    </row>
    <row r="2125" spans="1:5" x14ac:dyDescent="0.25">
      <c r="A2125" s="1" t="s">
        <v>2124</v>
      </c>
      <c r="B2125" s="8">
        <v>46199</v>
      </c>
      <c r="C2125" s="8">
        <v>45993</v>
      </c>
      <c r="D2125" s="8">
        <v>45832</v>
      </c>
      <c r="E2125" s="8">
        <v>45456</v>
      </c>
    </row>
    <row r="2126" spans="1:5" x14ac:dyDescent="0.25">
      <c r="A2126" s="1" t="s">
        <v>2150</v>
      </c>
      <c r="B2126" s="8">
        <v>46267</v>
      </c>
      <c r="C2126" s="8">
        <v>46106</v>
      </c>
      <c r="D2126" s="8">
        <v>45916</v>
      </c>
      <c r="E2126" s="8">
        <v>45736</v>
      </c>
    </row>
    <row r="2127" spans="1:5" x14ac:dyDescent="0.25">
      <c r="A2127" s="1" t="s">
        <v>2127</v>
      </c>
      <c r="B2127" s="8">
        <v>46260</v>
      </c>
      <c r="C2127" s="8">
        <v>46069</v>
      </c>
      <c r="D2127" s="8">
        <v>45864</v>
      </c>
      <c r="E2127" s="8">
        <v>45693</v>
      </c>
    </row>
    <row r="2128" spans="1:5" x14ac:dyDescent="0.25">
      <c r="A2128" s="1" t="s">
        <v>2101</v>
      </c>
      <c r="B2128" s="8">
        <v>46303</v>
      </c>
      <c r="C2128" s="8">
        <v>46105</v>
      </c>
      <c r="D2128" s="8">
        <v>45934</v>
      </c>
      <c r="E2128" s="8">
        <v>45628</v>
      </c>
    </row>
    <row r="2129" spans="1:5" x14ac:dyDescent="0.25">
      <c r="A2129" s="1" t="s">
        <v>2128</v>
      </c>
      <c r="B2129" s="8">
        <v>46202</v>
      </c>
      <c r="C2129" s="8">
        <v>45993</v>
      </c>
      <c r="D2129" s="8">
        <v>45832</v>
      </c>
      <c r="E2129" s="8">
        <v>45334</v>
      </c>
    </row>
    <row r="2130" spans="1:5" x14ac:dyDescent="0.25">
      <c r="A2130" s="1" t="s">
        <v>2098</v>
      </c>
      <c r="B2130" s="8">
        <v>46156</v>
      </c>
      <c r="C2130" s="8">
        <v>45854</v>
      </c>
      <c r="D2130" s="8">
        <v>45688</v>
      </c>
      <c r="E2130" s="8">
        <v>45255</v>
      </c>
    </row>
    <row r="2131" spans="1:5" x14ac:dyDescent="0.25">
      <c r="A2131" s="1" t="s">
        <v>2122</v>
      </c>
      <c r="B2131" s="8">
        <v>46196</v>
      </c>
      <c r="C2131" s="8">
        <v>45997</v>
      </c>
      <c r="D2131" s="8">
        <v>45854</v>
      </c>
      <c r="E2131" s="8">
        <v>45630</v>
      </c>
    </row>
    <row r="2132" spans="1:5" x14ac:dyDescent="0.25">
      <c r="A2132" s="1" t="s">
        <v>2117</v>
      </c>
      <c r="B2132" s="8">
        <v>46319</v>
      </c>
      <c r="C2132" s="8">
        <v>46279</v>
      </c>
      <c r="D2132" s="8">
        <v>46160</v>
      </c>
      <c r="E2132" s="8">
        <v>45015</v>
      </c>
    </row>
    <row r="2133" spans="1:5" x14ac:dyDescent="0.25">
      <c r="A2133" s="1" t="s">
        <v>2095</v>
      </c>
      <c r="B2133" s="8">
        <v>45995</v>
      </c>
      <c r="C2133" s="8">
        <v>45736</v>
      </c>
      <c r="D2133" s="8">
        <v>45531</v>
      </c>
      <c r="E2133" s="8">
        <v>45405</v>
      </c>
    </row>
    <row r="2134" spans="1:5" x14ac:dyDescent="0.25">
      <c r="A2134" s="1" t="s">
        <v>2121</v>
      </c>
      <c r="B2134" s="8">
        <v>46267</v>
      </c>
      <c r="C2134" s="8">
        <v>46039</v>
      </c>
      <c r="D2134" s="8">
        <v>45889</v>
      </c>
      <c r="E2134" s="8">
        <v>45670</v>
      </c>
    </row>
    <row r="2135" spans="1:5" x14ac:dyDescent="0.25">
      <c r="A2135" s="1" t="s">
        <v>2139</v>
      </c>
      <c r="B2135" s="8">
        <v>46205</v>
      </c>
      <c r="C2135" s="8">
        <v>46029</v>
      </c>
      <c r="D2135" s="8">
        <v>45846</v>
      </c>
      <c r="E2135" s="8">
        <v>45660</v>
      </c>
    </row>
    <row r="2136" spans="1:5" x14ac:dyDescent="0.25">
      <c r="A2136" s="1" t="s">
        <v>2113</v>
      </c>
      <c r="B2136" s="8">
        <v>46309</v>
      </c>
      <c r="C2136" s="8">
        <v>46130</v>
      </c>
      <c r="D2136" s="8"/>
      <c r="E2136" s="8"/>
    </row>
    <row r="2137" spans="1:5" x14ac:dyDescent="0.25">
      <c r="A2137" s="1" t="s">
        <v>2111</v>
      </c>
      <c r="B2137" s="8">
        <v>46205</v>
      </c>
      <c r="C2137" s="8">
        <v>46030</v>
      </c>
      <c r="D2137" s="8">
        <v>45846</v>
      </c>
      <c r="E2137" s="8">
        <v>45660</v>
      </c>
    </row>
    <row r="2138" spans="1:5" x14ac:dyDescent="0.25">
      <c r="A2138" s="1" t="s">
        <v>2109</v>
      </c>
      <c r="B2138" s="8">
        <v>46212</v>
      </c>
      <c r="C2138" s="8">
        <v>46028</v>
      </c>
      <c r="D2138" s="8">
        <v>45877</v>
      </c>
      <c r="E2138" s="8">
        <v>45688</v>
      </c>
    </row>
    <row r="2139" spans="1:5" x14ac:dyDescent="0.25">
      <c r="A2139" s="1" t="s">
        <v>2133</v>
      </c>
      <c r="B2139" s="8">
        <v>46202</v>
      </c>
      <c r="C2139" s="8">
        <v>45993</v>
      </c>
      <c r="D2139" s="8">
        <v>45832</v>
      </c>
      <c r="E2139" s="8">
        <v>45335</v>
      </c>
    </row>
    <row r="2140" spans="1:5" x14ac:dyDescent="0.25">
      <c r="A2140" s="1" t="s">
        <v>2151</v>
      </c>
      <c r="B2140" s="8">
        <v>45583</v>
      </c>
      <c r="C2140" s="8">
        <v>45416</v>
      </c>
      <c r="D2140" s="8">
        <v>44737</v>
      </c>
      <c r="E2140" s="8"/>
    </row>
    <row r="2141" spans="1:5" x14ac:dyDescent="0.25">
      <c r="A2141" s="1" t="s">
        <v>2091</v>
      </c>
      <c r="B2141" s="8">
        <v>45869</v>
      </c>
      <c r="C2141" s="8">
        <v>45624</v>
      </c>
      <c r="D2141" s="8">
        <v>45413</v>
      </c>
      <c r="E2141" s="8">
        <v>45274</v>
      </c>
    </row>
    <row r="2142" spans="1:5" x14ac:dyDescent="0.25">
      <c r="A2142" s="1" t="s">
        <v>2130</v>
      </c>
      <c r="B2142" s="8">
        <v>46199</v>
      </c>
      <c r="C2142" s="8">
        <v>45993</v>
      </c>
      <c r="D2142" s="8">
        <v>45831</v>
      </c>
      <c r="E2142" s="8">
        <v>45740</v>
      </c>
    </row>
    <row r="2143" spans="1:5" x14ac:dyDescent="0.25">
      <c r="A2143" s="1" t="s">
        <v>2132</v>
      </c>
      <c r="B2143" s="8">
        <v>45533</v>
      </c>
      <c r="C2143" s="8">
        <v>45336</v>
      </c>
      <c r="D2143" s="8">
        <v>45197</v>
      </c>
      <c r="E2143" s="8">
        <v>45037</v>
      </c>
    </row>
    <row r="2144" spans="1:5" x14ac:dyDescent="0.25">
      <c r="A2144" s="1" t="s">
        <v>2114</v>
      </c>
      <c r="B2144" s="8">
        <v>46199</v>
      </c>
      <c r="C2144" s="8">
        <v>45993</v>
      </c>
      <c r="D2144" s="8">
        <v>45831</v>
      </c>
      <c r="E2144" s="8">
        <v>45533</v>
      </c>
    </row>
    <row r="2145" spans="1:5" x14ac:dyDescent="0.25">
      <c r="A2145" s="1" t="s">
        <v>2106</v>
      </c>
      <c r="B2145" s="8">
        <v>46150</v>
      </c>
      <c r="C2145" s="8">
        <v>45995</v>
      </c>
      <c r="D2145" s="8">
        <v>45806</v>
      </c>
      <c r="E2145" s="8">
        <v>45741</v>
      </c>
    </row>
    <row r="2146" spans="1:5" x14ac:dyDescent="0.25">
      <c r="A2146" s="1" t="s">
        <v>2134</v>
      </c>
      <c r="B2146" s="8">
        <v>46199</v>
      </c>
      <c r="C2146" s="8">
        <v>45993</v>
      </c>
      <c r="D2146" s="8">
        <v>45831</v>
      </c>
      <c r="E2146" s="8">
        <v>45601</v>
      </c>
    </row>
    <row r="2147" spans="1:5" x14ac:dyDescent="0.25">
      <c r="A2147" s="1" t="s">
        <v>2143</v>
      </c>
      <c r="B2147" s="8">
        <v>45841</v>
      </c>
      <c r="C2147" s="8">
        <v>45675</v>
      </c>
      <c r="D2147" s="8">
        <v>45078</v>
      </c>
      <c r="E2147" s="8">
        <v>44911</v>
      </c>
    </row>
    <row r="2148" spans="1:5" x14ac:dyDescent="0.25">
      <c r="A2148" s="1" t="s">
        <v>2087</v>
      </c>
      <c r="B2148" s="8">
        <v>45828</v>
      </c>
      <c r="C2148" s="8">
        <v>45700</v>
      </c>
      <c r="D2148" s="8"/>
      <c r="E2148" s="8"/>
    </row>
    <row r="2149" spans="1:5" x14ac:dyDescent="0.25">
      <c r="A2149" s="1" t="s">
        <v>2129</v>
      </c>
      <c r="B2149" s="8">
        <v>46260</v>
      </c>
      <c r="C2149" s="8">
        <v>46106</v>
      </c>
      <c r="D2149" s="8">
        <v>46059</v>
      </c>
      <c r="E2149" s="8">
        <v>45898</v>
      </c>
    </row>
    <row r="2150" spans="1:5" x14ac:dyDescent="0.25">
      <c r="A2150" s="1" t="s">
        <v>2126</v>
      </c>
      <c r="B2150" s="8">
        <v>46202</v>
      </c>
      <c r="C2150" s="8">
        <v>45993</v>
      </c>
      <c r="D2150" s="8">
        <v>45785</v>
      </c>
      <c r="E2150" s="8">
        <v>45533</v>
      </c>
    </row>
    <row r="2151" spans="1:5" x14ac:dyDescent="0.25">
      <c r="A2151" s="1" t="s">
        <v>2146</v>
      </c>
      <c r="B2151" s="8">
        <v>46078</v>
      </c>
      <c r="C2151" s="8">
        <v>45897</v>
      </c>
      <c r="D2151" s="8">
        <v>45738</v>
      </c>
      <c r="E2151" s="8">
        <v>45517</v>
      </c>
    </row>
    <row r="2152" spans="1:5" x14ac:dyDescent="0.25">
      <c r="A2152" s="1" t="s">
        <v>2152</v>
      </c>
      <c r="B2152" s="8">
        <v>45703</v>
      </c>
      <c r="C2152" s="8">
        <v>45122</v>
      </c>
      <c r="D2152" s="8">
        <v>44989</v>
      </c>
      <c r="E2152" s="8">
        <v>44697</v>
      </c>
    </row>
    <row r="2153" spans="1:5" x14ac:dyDescent="0.25">
      <c r="A2153" s="1" t="s">
        <v>2118</v>
      </c>
      <c r="B2153" s="8">
        <v>46202</v>
      </c>
      <c r="C2153" s="8">
        <v>45993</v>
      </c>
      <c r="D2153" s="8">
        <v>45831</v>
      </c>
      <c r="E2153" s="8">
        <v>45462</v>
      </c>
    </row>
    <row r="2154" spans="1:5" x14ac:dyDescent="0.25">
      <c r="A2154" s="1" t="s">
        <v>2120</v>
      </c>
      <c r="B2154" s="8">
        <v>45890</v>
      </c>
      <c r="C2154" s="8">
        <v>45686</v>
      </c>
      <c r="D2154" s="8"/>
      <c r="E2154" s="8"/>
    </row>
    <row r="2155" spans="1:5" x14ac:dyDescent="0.25">
      <c r="A2155" s="1" t="s">
        <v>2137</v>
      </c>
      <c r="B2155" s="8"/>
      <c r="C2155" s="8"/>
      <c r="D2155" s="8"/>
      <c r="E2155" s="8"/>
    </row>
    <row r="2156" spans="1:5" x14ac:dyDescent="0.25">
      <c r="A2156" s="1" t="s">
        <v>2149</v>
      </c>
      <c r="B2156" s="8">
        <v>46256</v>
      </c>
      <c r="C2156" s="8">
        <v>46071</v>
      </c>
      <c r="D2156" s="8">
        <v>45910</v>
      </c>
      <c r="E2156" s="8">
        <v>45716</v>
      </c>
    </row>
    <row r="2157" spans="1:5" x14ac:dyDescent="0.25">
      <c r="A2157" s="1" t="s">
        <v>2159</v>
      </c>
      <c r="B2157" s="8">
        <v>45677</v>
      </c>
      <c r="C2157" s="8">
        <v>45527</v>
      </c>
      <c r="D2157" s="8">
        <v>45448</v>
      </c>
      <c r="E2157" s="8">
        <v>45274</v>
      </c>
    </row>
    <row r="2158" spans="1:5" x14ac:dyDescent="0.25">
      <c r="A2158" s="1" t="s">
        <v>2097</v>
      </c>
      <c r="B2158" s="8">
        <v>46255</v>
      </c>
      <c r="C2158" s="8">
        <v>46063</v>
      </c>
      <c r="D2158" s="8">
        <v>45873</v>
      </c>
      <c r="E2158" s="8">
        <v>45716</v>
      </c>
    </row>
    <row r="2159" spans="1:5" x14ac:dyDescent="0.25">
      <c r="A2159" s="1" t="s">
        <v>2156</v>
      </c>
      <c r="B2159" s="8">
        <v>46182</v>
      </c>
      <c r="C2159" s="8">
        <v>45995</v>
      </c>
      <c r="D2159" s="8">
        <v>45738</v>
      </c>
      <c r="E2159" s="8">
        <v>45531</v>
      </c>
    </row>
    <row r="2160" spans="1:5" x14ac:dyDescent="0.25">
      <c r="A2160" s="1" t="s">
        <v>2104</v>
      </c>
      <c r="B2160" s="8">
        <v>46174</v>
      </c>
      <c r="C2160" s="8">
        <v>46008</v>
      </c>
      <c r="D2160" s="8">
        <v>45829</v>
      </c>
      <c r="E2160" s="8">
        <v>45649</v>
      </c>
    </row>
    <row r="2161" spans="1:5" x14ac:dyDescent="0.25">
      <c r="A2161" s="1" t="s">
        <v>2145</v>
      </c>
      <c r="B2161" s="8">
        <v>46126</v>
      </c>
      <c r="C2161" s="8">
        <v>45989</v>
      </c>
      <c r="D2161" s="8">
        <v>45828</v>
      </c>
      <c r="E2161" s="8">
        <v>45635</v>
      </c>
    </row>
    <row r="2162" spans="1:5" x14ac:dyDescent="0.25">
      <c r="A2162" s="1" t="s">
        <v>2158</v>
      </c>
      <c r="B2162" s="8">
        <v>46260</v>
      </c>
      <c r="C2162" s="8">
        <v>46142</v>
      </c>
      <c r="D2162" s="8">
        <v>45939</v>
      </c>
      <c r="E2162" s="8">
        <v>45786</v>
      </c>
    </row>
    <row r="2163" spans="1:5" x14ac:dyDescent="0.25">
      <c r="A2163" s="1" t="s">
        <v>2093</v>
      </c>
      <c r="B2163" s="8">
        <v>46199</v>
      </c>
      <c r="C2163" s="8">
        <v>45993</v>
      </c>
      <c r="D2163" s="8">
        <v>45832</v>
      </c>
      <c r="E2163" s="8">
        <v>45533</v>
      </c>
    </row>
    <row r="2164" spans="1:5" x14ac:dyDescent="0.25">
      <c r="A2164" s="1" t="s">
        <v>2123</v>
      </c>
      <c r="B2164" s="8">
        <v>46238</v>
      </c>
      <c r="C2164" s="8">
        <v>46062</v>
      </c>
      <c r="D2164" s="8">
        <v>45881</v>
      </c>
      <c r="E2164" s="8">
        <v>45705</v>
      </c>
    </row>
    <row r="2165" spans="1:5" x14ac:dyDescent="0.25">
      <c r="A2165" s="1" t="s">
        <v>2096</v>
      </c>
      <c r="B2165" s="8">
        <v>46078</v>
      </c>
      <c r="C2165" s="8">
        <v>45897</v>
      </c>
      <c r="D2165" s="8">
        <v>45738</v>
      </c>
      <c r="E2165" s="8">
        <v>45517</v>
      </c>
    </row>
    <row r="2166" spans="1:5" x14ac:dyDescent="0.25">
      <c r="A2166" s="1" t="s">
        <v>2155</v>
      </c>
      <c r="B2166" s="8">
        <v>46205</v>
      </c>
      <c r="C2166" s="8">
        <v>46030</v>
      </c>
      <c r="D2166" s="8">
        <v>45148</v>
      </c>
      <c r="E2166" s="8">
        <v>44965</v>
      </c>
    </row>
    <row r="2167" spans="1:5" x14ac:dyDescent="0.25">
      <c r="A2167" s="1" t="s">
        <v>2100</v>
      </c>
      <c r="B2167" s="8"/>
      <c r="C2167" s="8"/>
      <c r="D2167" s="8"/>
      <c r="E2167" s="8"/>
    </row>
    <row r="2168" spans="1:5" x14ac:dyDescent="0.25">
      <c r="A2168" s="1" t="s">
        <v>2102</v>
      </c>
      <c r="B2168" s="8">
        <v>46321</v>
      </c>
      <c r="C2168" s="8">
        <v>46197</v>
      </c>
      <c r="D2168" s="8">
        <v>45758</v>
      </c>
      <c r="E2168" s="8">
        <v>45582</v>
      </c>
    </row>
    <row r="2169" spans="1:5" x14ac:dyDescent="0.25">
      <c r="A2169" s="1" t="s">
        <v>2136</v>
      </c>
      <c r="B2169" s="8">
        <v>46268</v>
      </c>
      <c r="C2169" s="8">
        <v>46060</v>
      </c>
      <c r="D2169" s="8">
        <v>46028</v>
      </c>
      <c r="E2169" s="8">
        <v>45701</v>
      </c>
    </row>
    <row r="2170" spans="1:5" x14ac:dyDescent="0.25">
      <c r="A2170" s="1" t="s">
        <v>2140</v>
      </c>
      <c r="B2170" s="8">
        <v>46132</v>
      </c>
      <c r="C2170" s="8">
        <v>45981</v>
      </c>
      <c r="D2170" s="8">
        <v>45901</v>
      </c>
      <c r="E2170" s="8"/>
    </row>
    <row r="2171" spans="1:5" x14ac:dyDescent="0.25">
      <c r="A2171" s="1" t="s">
        <v>2092</v>
      </c>
      <c r="B2171" s="8">
        <v>46035</v>
      </c>
      <c r="C2171" s="8">
        <v>45888</v>
      </c>
      <c r="D2171" s="8">
        <v>45642</v>
      </c>
      <c r="E2171" s="8">
        <v>45488</v>
      </c>
    </row>
    <row r="2172" spans="1:5" x14ac:dyDescent="0.25">
      <c r="A2172" s="1" t="s">
        <v>2161</v>
      </c>
      <c r="B2172" s="8">
        <v>46209</v>
      </c>
      <c r="C2172" s="8">
        <v>46059</v>
      </c>
      <c r="D2172" s="8">
        <v>45898</v>
      </c>
      <c r="E2172" s="8">
        <v>45712</v>
      </c>
    </row>
    <row r="2173" spans="1:5" x14ac:dyDescent="0.25">
      <c r="A2173" s="1" t="s">
        <v>2162</v>
      </c>
      <c r="B2173" s="8"/>
      <c r="C2173" s="8"/>
      <c r="D2173" s="8"/>
      <c r="E2173" s="8"/>
    </row>
    <row r="2174" spans="1:5" x14ac:dyDescent="0.25">
      <c r="A2174" s="1" t="s">
        <v>2163</v>
      </c>
      <c r="B2174" s="8">
        <v>46025</v>
      </c>
      <c r="C2174" s="8">
        <v>45908</v>
      </c>
      <c r="D2174" s="8">
        <v>45692</v>
      </c>
      <c r="E2174" s="8">
        <v>45492</v>
      </c>
    </row>
    <row r="2175" spans="1:5" x14ac:dyDescent="0.25">
      <c r="A2175" s="1" t="s">
        <v>2164</v>
      </c>
      <c r="B2175" s="8">
        <v>45908</v>
      </c>
      <c r="C2175" s="8">
        <v>45622</v>
      </c>
      <c r="D2175" s="8">
        <v>45359</v>
      </c>
      <c r="E2175" s="8">
        <v>45187</v>
      </c>
    </row>
    <row r="2176" spans="1:5" x14ac:dyDescent="0.25">
      <c r="A2176" s="1" t="s">
        <v>2165</v>
      </c>
      <c r="B2176" s="8">
        <v>46253</v>
      </c>
      <c r="C2176" s="8">
        <v>45869</v>
      </c>
      <c r="D2176" s="8">
        <v>45534</v>
      </c>
      <c r="E2176" s="8">
        <v>45274</v>
      </c>
    </row>
    <row r="2177" spans="1:5" x14ac:dyDescent="0.25">
      <c r="A2177" s="1" t="s">
        <v>2166</v>
      </c>
      <c r="B2177" s="8">
        <v>46150</v>
      </c>
      <c r="C2177" s="8">
        <v>45995</v>
      </c>
      <c r="D2177" s="8">
        <v>45806</v>
      </c>
      <c r="E2177" s="8">
        <v>45637</v>
      </c>
    </row>
    <row r="2178" spans="1:5" x14ac:dyDescent="0.25">
      <c r="A2178" s="1" t="s">
        <v>2167</v>
      </c>
      <c r="B2178" s="8">
        <v>46017</v>
      </c>
      <c r="C2178" s="8">
        <v>45845</v>
      </c>
      <c r="D2178" s="8"/>
      <c r="E2178" s="8"/>
    </row>
    <row r="2179" spans="1:5" x14ac:dyDescent="0.25">
      <c r="A2179" s="1" t="s">
        <v>2168</v>
      </c>
      <c r="B2179" s="8">
        <v>46181</v>
      </c>
      <c r="C2179" s="8">
        <v>46009</v>
      </c>
      <c r="D2179" s="8">
        <v>45938</v>
      </c>
      <c r="E2179" s="8">
        <v>45544</v>
      </c>
    </row>
    <row r="2180" spans="1:5" x14ac:dyDescent="0.25">
      <c r="A2180" s="1" t="s">
        <v>2169</v>
      </c>
      <c r="B2180" s="8">
        <v>46268</v>
      </c>
      <c r="C2180" s="8">
        <v>46060</v>
      </c>
      <c r="D2180" s="8">
        <v>45892</v>
      </c>
      <c r="E2180" s="8">
        <v>45890</v>
      </c>
    </row>
    <row r="2181" spans="1:5" x14ac:dyDescent="0.25">
      <c r="A2181" s="1" t="s">
        <v>2170</v>
      </c>
      <c r="B2181" s="8">
        <v>46207</v>
      </c>
      <c r="C2181" s="8">
        <v>46017</v>
      </c>
      <c r="D2181" s="8">
        <v>45859</v>
      </c>
      <c r="E2181" s="8">
        <v>45644</v>
      </c>
    </row>
    <row r="2182" spans="1:5" x14ac:dyDescent="0.25">
      <c r="A2182" s="1" t="s">
        <v>2171</v>
      </c>
      <c r="B2182" s="8">
        <v>46247</v>
      </c>
      <c r="C2182" s="8">
        <v>46141</v>
      </c>
      <c r="D2182" s="8">
        <v>45980</v>
      </c>
      <c r="E2182" s="8">
        <v>45794</v>
      </c>
    </row>
    <row r="2183" spans="1:5" x14ac:dyDescent="0.25">
      <c r="A2183" s="1" t="s">
        <v>2172</v>
      </c>
      <c r="B2183" s="8">
        <v>46254</v>
      </c>
      <c r="C2183" s="8">
        <v>46031</v>
      </c>
      <c r="D2183" s="8">
        <v>45798</v>
      </c>
      <c r="E2183" s="8">
        <v>45622</v>
      </c>
    </row>
    <row r="2184" spans="1:5" x14ac:dyDescent="0.25">
      <c r="A2184" s="1" t="s">
        <v>2174</v>
      </c>
      <c r="B2184" s="8">
        <v>46200</v>
      </c>
      <c r="C2184" s="8">
        <v>45993</v>
      </c>
      <c r="D2184" s="8">
        <v>45832</v>
      </c>
      <c r="E2184" s="8">
        <v>45677</v>
      </c>
    </row>
    <row r="2185" spans="1:5" x14ac:dyDescent="0.25">
      <c r="A2185" s="1" t="s">
        <v>2173</v>
      </c>
      <c r="B2185" s="8">
        <v>46203</v>
      </c>
      <c r="C2185" s="8">
        <v>45996</v>
      </c>
      <c r="D2185" s="8">
        <v>45779</v>
      </c>
      <c r="E2185" s="8">
        <v>45533</v>
      </c>
    </row>
    <row r="2186" spans="1:5" x14ac:dyDescent="0.25">
      <c r="A2186" s="1" t="s">
        <v>2175</v>
      </c>
      <c r="B2186" s="8">
        <v>46260</v>
      </c>
      <c r="C2186" s="8">
        <v>46087</v>
      </c>
      <c r="D2186" s="8">
        <v>45864</v>
      </c>
      <c r="E2186" s="8">
        <v>45693</v>
      </c>
    </row>
    <row r="2187" spans="1:5" x14ac:dyDescent="0.25">
      <c r="A2187" s="1" t="s">
        <v>2176</v>
      </c>
      <c r="B2187" s="8">
        <v>46205</v>
      </c>
      <c r="C2187" s="8">
        <v>46030</v>
      </c>
      <c r="D2187" s="8">
        <v>45846</v>
      </c>
      <c r="E2187" s="8">
        <v>45660</v>
      </c>
    </row>
    <row r="2188" spans="1:5" x14ac:dyDescent="0.25">
      <c r="A2188" s="1" t="s">
        <v>2177</v>
      </c>
      <c r="B2188" s="8">
        <v>46303</v>
      </c>
      <c r="C2188" s="8">
        <v>46105</v>
      </c>
      <c r="D2188" s="8">
        <v>45920</v>
      </c>
      <c r="E2188" s="8">
        <v>45628</v>
      </c>
    </row>
    <row r="2189" spans="1:5" x14ac:dyDescent="0.25">
      <c r="A2189" s="1" t="s">
        <v>2685</v>
      </c>
      <c r="B2189" s="8"/>
      <c r="C2189" s="8"/>
      <c r="D2189" s="8"/>
      <c r="E2189" s="8"/>
    </row>
    <row r="2190" spans="1:5" x14ac:dyDescent="0.25">
      <c r="A2190" s="1" t="s">
        <v>2686</v>
      </c>
      <c r="B2190" s="8"/>
      <c r="C2190" s="8"/>
      <c r="D2190" s="8"/>
      <c r="E2190" s="8"/>
    </row>
    <row r="2191" spans="1:5" x14ac:dyDescent="0.25">
      <c r="A2191" s="1" t="s">
        <v>2687</v>
      </c>
      <c r="B2191" s="8"/>
      <c r="C2191" s="8"/>
      <c r="D2191" s="8"/>
      <c r="E2191" s="8"/>
    </row>
    <row r="2192" spans="1:5" x14ac:dyDescent="0.25">
      <c r="A2192" s="1" t="s">
        <v>2655</v>
      </c>
      <c r="B2192" s="8"/>
      <c r="C2192" s="8"/>
      <c r="D2192" s="8"/>
      <c r="E2192" s="8"/>
    </row>
    <row r="2193" spans="1:5" x14ac:dyDescent="0.25">
      <c r="A2193" s="1" t="s">
        <v>2656</v>
      </c>
      <c r="B2193" s="8"/>
      <c r="C2193" s="8"/>
      <c r="D2193" s="8"/>
      <c r="E2193" s="8"/>
    </row>
    <row r="2194" spans="1:5" x14ac:dyDescent="0.25">
      <c r="A2194" s="1" t="s">
        <v>2657</v>
      </c>
      <c r="B2194" s="8"/>
      <c r="C2194" s="8"/>
      <c r="D2194" s="8"/>
      <c r="E2194" s="8"/>
    </row>
    <row r="2195" spans="1:5" x14ac:dyDescent="0.25">
      <c r="A2195" s="1" t="s">
        <v>2658</v>
      </c>
      <c r="B2195" s="8"/>
      <c r="C2195" s="8"/>
      <c r="D2195" s="8"/>
      <c r="E2195" s="8"/>
    </row>
    <row r="2196" spans="1:5" x14ac:dyDescent="0.25">
      <c r="A2196" s="1" t="s">
        <v>2178</v>
      </c>
      <c r="B2196" s="8"/>
      <c r="C2196" s="8"/>
      <c r="D2196" s="8"/>
      <c r="E2196" s="8"/>
    </row>
    <row r="2197" spans="1:5" x14ac:dyDescent="0.25">
      <c r="A2197" s="1" t="s">
        <v>2180</v>
      </c>
      <c r="B2197" s="8"/>
      <c r="C2197" s="8"/>
      <c r="D2197" s="8"/>
      <c r="E2197" s="8"/>
    </row>
    <row r="2198" spans="1:5" x14ac:dyDescent="0.25">
      <c r="A2198" s="1" t="s">
        <v>2181</v>
      </c>
      <c r="B2198" s="8"/>
      <c r="C2198" s="8"/>
      <c r="D2198" s="8"/>
      <c r="E2198" s="8"/>
    </row>
    <row r="2199" spans="1:5" x14ac:dyDescent="0.25">
      <c r="A2199" s="1" t="s">
        <v>2179</v>
      </c>
      <c r="B2199" s="8"/>
      <c r="C2199" s="8"/>
      <c r="D2199" s="8"/>
      <c r="E2199" s="8"/>
    </row>
    <row r="2200" spans="1:5" x14ac:dyDescent="0.25">
      <c r="A2200" s="1" t="s">
        <v>2659</v>
      </c>
      <c r="B2200" s="8"/>
      <c r="C2200" s="8"/>
      <c r="D2200" s="8"/>
      <c r="E2200" s="8"/>
    </row>
    <row r="2201" spans="1:5" x14ac:dyDescent="0.25">
      <c r="A2201" s="1" t="s">
        <v>2183</v>
      </c>
      <c r="B2201" s="8"/>
      <c r="C2201" s="8"/>
      <c r="D2201" s="8"/>
      <c r="E2201" s="8"/>
    </row>
    <row r="2202" spans="1:5" x14ac:dyDescent="0.25">
      <c r="A2202" s="1" t="s">
        <v>2182</v>
      </c>
      <c r="B2202" s="8"/>
      <c r="C2202" s="8"/>
      <c r="D2202" s="8"/>
      <c r="E2202" s="8"/>
    </row>
    <row r="2203" spans="1:5" x14ac:dyDescent="0.25">
      <c r="A2203" s="1" t="s">
        <v>2184</v>
      </c>
      <c r="B2203" s="8"/>
      <c r="C2203" s="8"/>
      <c r="D2203" s="8"/>
      <c r="E2203" s="8"/>
    </row>
    <row r="2204" spans="1:5" x14ac:dyDescent="0.25">
      <c r="A2204" s="1" t="s">
        <v>2185</v>
      </c>
      <c r="B2204" s="8"/>
      <c r="C2204" s="8"/>
      <c r="D2204" s="8"/>
      <c r="E2204" s="8"/>
    </row>
    <row r="2205" spans="1:5" x14ac:dyDescent="0.25">
      <c r="A2205" s="1" t="s">
        <v>2186</v>
      </c>
      <c r="B2205" s="8"/>
      <c r="C2205" s="8"/>
      <c r="D2205" s="8"/>
      <c r="E2205" s="8"/>
    </row>
    <row r="2206" spans="1:5" x14ac:dyDescent="0.25">
      <c r="A2206" s="1" t="s">
        <v>2187</v>
      </c>
      <c r="B2206" s="8"/>
      <c r="C2206" s="8"/>
      <c r="D2206" s="8"/>
      <c r="E2206" s="8"/>
    </row>
    <row r="2207" spans="1:5" x14ac:dyDescent="0.25">
      <c r="A2207" s="1" t="s">
        <v>2188</v>
      </c>
      <c r="B2207" s="8"/>
      <c r="C2207" s="8"/>
      <c r="D2207" s="8"/>
      <c r="E2207" s="8"/>
    </row>
    <row r="2208" spans="1:5" x14ac:dyDescent="0.25">
      <c r="A2208" s="1" t="s">
        <v>2660</v>
      </c>
      <c r="B2208" s="8"/>
      <c r="C2208" s="8"/>
      <c r="D2208" s="8"/>
      <c r="E2208" s="8"/>
    </row>
    <row r="2209" spans="1:5" x14ac:dyDescent="0.25">
      <c r="A2209" s="1" t="s">
        <v>2189</v>
      </c>
      <c r="B2209" s="8"/>
      <c r="C2209" s="8"/>
      <c r="D2209" s="8"/>
      <c r="E2209" s="8"/>
    </row>
    <row r="2210" spans="1:5" x14ac:dyDescent="0.25">
      <c r="A2210" s="1" t="s">
        <v>2190</v>
      </c>
      <c r="B2210" s="8"/>
      <c r="C2210" s="8"/>
      <c r="D2210" s="8"/>
      <c r="E2210" s="8"/>
    </row>
    <row r="2211" spans="1:5" x14ac:dyDescent="0.25">
      <c r="A2211" s="1" t="s">
        <v>2191</v>
      </c>
      <c r="B2211" s="8"/>
      <c r="C2211" s="8"/>
      <c r="D2211" s="8"/>
      <c r="E2211" s="8"/>
    </row>
    <row r="2212" spans="1:5" x14ac:dyDescent="0.25">
      <c r="A2212" s="1" t="s">
        <v>2192</v>
      </c>
      <c r="B2212" s="8"/>
      <c r="C2212" s="8"/>
      <c r="D2212" s="8"/>
      <c r="E2212" s="8"/>
    </row>
    <row r="2213" spans="1:5" x14ac:dyDescent="0.25">
      <c r="A2213" s="1" t="s">
        <v>2193</v>
      </c>
      <c r="B2213" s="8"/>
      <c r="C2213" s="8"/>
      <c r="D2213" s="8"/>
      <c r="E2213" s="8"/>
    </row>
    <row r="2214" spans="1:5" x14ac:dyDescent="0.25">
      <c r="A2214" s="1" t="s">
        <v>2194</v>
      </c>
      <c r="B2214" s="8"/>
      <c r="C2214" s="8"/>
      <c r="D2214" s="8"/>
      <c r="E2214" s="8"/>
    </row>
    <row r="2215" spans="1:5" x14ac:dyDescent="0.25">
      <c r="A2215" s="1" t="s">
        <v>2196</v>
      </c>
      <c r="B2215" s="8"/>
      <c r="C2215" s="8"/>
      <c r="D2215" s="8"/>
      <c r="E2215" s="8"/>
    </row>
    <row r="2216" spans="1:5" x14ac:dyDescent="0.25">
      <c r="A2216" s="1" t="s">
        <v>2195</v>
      </c>
      <c r="B2216" s="8"/>
      <c r="C2216" s="8"/>
      <c r="D2216" s="8"/>
      <c r="E2216" s="8"/>
    </row>
    <row r="2217" spans="1:5" x14ac:dyDescent="0.25">
      <c r="A2217" s="1" t="s">
        <v>2198</v>
      </c>
      <c r="B2217" s="8"/>
      <c r="C2217" s="8"/>
      <c r="D2217" s="8"/>
      <c r="E2217" s="8"/>
    </row>
    <row r="2218" spans="1:5" x14ac:dyDescent="0.25">
      <c r="A2218" s="1" t="s">
        <v>2197</v>
      </c>
      <c r="B2218" s="8"/>
      <c r="C2218" s="8"/>
      <c r="D2218" s="8"/>
      <c r="E2218" s="8"/>
    </row>
    <row r="2219" spans="1:5" x14ac:dyDescent="0.25">
      <c r="A2219" s="1" t="s">
        <v>2200</v>
      </c>
      <c r="B2219" s="8"/>
      <c r="C2219" s="8"/>
      <c r="D2219" s="8"/>
      <c r="E2219" s="8"/>
    </row>
    <row r="2220" spans="1:5" x14ac:dyDescent="0.25">
      <c r="A2220" s="1" t="s">
        <v>2199</v>
      </c>
      <c r="B2220" s="8"/>
      <c r="C2220" s="8"/>
      <c r="D2220" s="8"/>
      <c r="E2220" s="8"/>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A9FC5-75F2-489C-AB9A-F7AA35932EA9}">
  <sheetPr>
    <pageSetUpPr fitToPage="1"/>
  </sheetPr>
  <dimension ref="A1:S314"/>
  <sheetViews>
    <sheetView tabSelected="1" zoomScale="80" zoomScaleNormal="80" workbookViewId="0">
      <selection activeCell="S3" sqref="S3"/>
    </sheetView>
  </sheetViews>
  <sheetFormatPr defaultColWidth="9.140625" defaultRowHeight="15" x14ac:dyDescent="0.25"/>
  <cols>
    <col min="1" max="1" width="16.7109375" style="3" bestFit="1" customWidth="1"/>
    <col min="2" max="2" width="26.28515625" style="3" bestFit="1" customWidth="1"/>
    <col min="3" max="3" width="18.85546875" style="2" bestFit="1" customWidth="1"/>
    <col min="4" max="4" width="57.42578125" bestFit="1" customWidth="1"/>
    <col min="5" max="5" width="29.7109375" style="3" customWidth="1"/>
    <col min="6" max="6" width="15.28515625" style="3" customWidth="1"/>
    <col min="7" max="7" width="21.28515625" style="3" customWidth="1"/>
    <col min="8" max="8" width="16.140625" style="3" bestFit="1" customWidth="1"/>
    <col min="9" max="9" width="17.28515625" style="3" customWidth="1"/>
    <col min="10" max="10" width="37.42578125" style="3" hidden="1" customWidth="1"/>
    <col min="11" max="11" width="13.42578125" style="3" bestFit="1" customWidth="1"/>
    <col min="12" max="12" width="14.28515625" style="3" customWidth="1"/>
    <col min="13" max="13" width="17.28515625" style="2" hidden="1" customWidth="1"/>
    <col min="14" max="14" width="12.7109375" style="2" bestFit="1" customWidth="1"/>
    <col min="15" max="15" width="24" style="2" bestFit="1" customWidth="1"/>
    <col min="16" max="16" width="10.7109375" style="2" customWidth="1"/>
    <col min="17" max="17" width="10.5703125" style="2" customWidth="1"/>
    <col min="18" max="18" width="73.28515625" style="2" bestFit="1" customWidth="1"/>
    <col min="19" max="19" width="81" style="2" bestFit="1" customWidth="1"/>
    <col min="20" max="20" width="13.42578125" customWidth="1"/>
    <col min="21" max="21" width="7.42578125" customWidth="1"/>
    <col min="22" max="22" width="12.7109375" bestFit="1" customWidth="1"/>
    <col min="23" max="24" width="80.85546875" customWidth="1"/>
    <col min="25" max="25" width="15.42578125" customWidth="1"/>
    <col min="26" max="26" width="34.7109375" customWidth="1"/>
    <col min="27" max="27" width="18.7109375" customWidth="1"/>
    <col min="28" max="28" width="24.28515625" customWidth="1"/>
    <col min="29" max="29" width="25.140625" customWidth="1"/>
    <col min="30" max="30" width="57.28515625" customWidth="1"/>
    <col min="31" max="31" width="15.85546875" customWidth="1"/>
    <col min="32" max="32" width="24.140625" customWidth="1"/>
    <col min="33" max="33" width="19.7109375" customWidth="1"/>
    <col min="34" max="34" width="80.85546875" customWidth="1"/>
    <col min="35" max="35" width="28.7109375" customWidth="1"/>
    <col min="36" max="36" width="17.28515625" customWidth="1"/>
    <col min="37" max="37" width="19.5703125" customWidth="1"/>
    <col min="38" max="38" width="80.85546875" customWidth="1"/>
    <col min="39" max="39" width="16.5703125" customWidth="1"/>
    <col min="40" max="40" width="19.140625" customWidth="1"/>
    <col min="41" max="41" width="25.42578125" customWidth="1"/>
    <col min="42" max="42" width="27" customWidth="1"/>
    <col min="43" max="43" width="80.85546875" customWidth="1"/>
    <col min="44" max="44" width="32.140625" customWidth="1"/>
    <col min="45" max="45" width="11.5703125" customWidth="1"/>
    <col min="46" max="46" width="14.7109375" customWidth="1"/>
  </cols>
  <sheetData>
    <row r="1" spans="1:19" ht="120.6" customHeight="1" x14ac:dyDescent="0.55000000000000004">
      <c r="N1" s="7">
        <f>SUBTOTAL(2,Ticket3[Ticket Number])</f>
        <v>312</v>
      </c>
      <c r="R1" s="7"/>
    </row>
    <row r="2" spans="1:19" x14ac:dyDescent="0.25">
      <c r="A2" s="6" t="s">
        <v>2214</v>
      </c>
      <c r="B2" s="3" t="s">
        <v>2215</v>
      </c>
      <c r="C2" s="2" t="s">
        <v>2216</v>
      </c>
      <c r="D2" t="s">
        <v>2217</v>
      </c>
      <c r="E2" t="s">
        <v>2218</v>
      </c>
      <c r="F2" s="3" t="s">
        <v>2219</v>
      </c>
      <c r="G2" s="3" t="s">
        <v>0</v>
      </c>
      <c r="H2" s="3" t="s">
        <v>2220</v>
      </c>
      <c r="I2" s="3" t="s">
        <v>2221</v>
      </c>
      <c r="J2" t="s">
        <v>2222</v>
      </c>
      <c r="K2" t="s">
        <v>2223</v>
      </c>
      <c r="L2" t="s">
        <v>2224</v>
      </c>
      <c r="M2" t="s">
        <v>2225</v>
      </c>
      <c r="N2" s="9" t="s">
        <v>2226</v>
      </c>
      <c r="O2" s="9" t="s">
        <v>2227</v>
      </c>
      <c r="P2" s="9" t="s">
        <v>2228</v>
      </c>
      <c r="Q2" s="9" t="s">
        <v>2229</v>
      </c>
      <c r="R2" t="s">
        <v>2717</v>
      </c>
      <c r="S2" t="s">
        <v>2718</v>
      </c>
    </row>
    <row r="3" spans="1:19" x14ac:dyDescent="0.25">
      <c r="A3" s="3">
        <v>18157</v>
      </c>
      <c r="B3" s="4" t="s">
        <v>2230</v>
      </c>
      <c r="C3" s="2">
        <v>46326</v>
      </c>
      <c r="D3" s="1" t="s">
        <v>2231</v>
      </c>
      <c r="E3" s="1" t="s">
        <v>2232</v>
      </c>
      <c r="F3" s="4" t="s">
        <v>2233</v>
      </c>
      <c r="G3" s="4" t="s">
        <v>799</v>
      </c>
      <c r="H3" s="4" t="s">
        <v>2234</v>
      </c>
      <c r="I3" s="4" t="s">
        <v>2235</v>
      </c>
      <c r="J3" t="s">
        <v>2236</v>
      </c>
      <c r="K3" s="1" t="s">
        <v>2237</v>
      </c>
      <c r="L3" s="1" t="s">
        <v>2283</v>
      </c>
      <c r="M3" s="1" t="s">
        <v>799</v>
      </c>
      <c r="N3" s="9">
        <v>46155</v>
      </c>
      <c r="O3" s="9">
        <v>45986</v>
      </c>
      <c r="P3" s="9">
        <v>45792</v>
      </c>
      <c r="Q3" s="9">
        <v>45614</v>
      </c>
      <c r="R3" s="10" t="str">
        <f>HYPERLINK(_xlfn.CONCAT("https://mhmpl.sangamcrm.com/tickets/",Ticket3[[#This Row],[Id]]))</f>
        <v>https://mhmpl.sangamcrm.com/tickets/8ff56be9-dab5-4395-aa05-ecf430750165</v>
      </c>
      <c r="S3" s="9" t="str">
        <f>_xlfn.CONCAT(Ticket3[[#This Row],[Account Name]]," ",Ticket3[[#This Row],[City]]," ",Ticket3[[#This Row],[Product Name]]," ",Ticket3[[#This Row],[Ticket Type]]," ")</f>
        <v xml:space="preserve">Precise Speciality Eye Care-Adoor Adoor REVO 60 PMS </v>
      </c>
    </row>
    <row r="4" spans="1:19" x14ac:dyDescent="0.25">
      <c r="A4" s="3">
        <v>50122</v>
      </c>
      <c r="B4" s="4" t="s">
        <v>2230</v>
      </c>
      <c r="C4" s="2">
        <v>46344</v>
      </c>
      <c r="D4" s="1" t="s">
        <v>2239</v>
      </c>
      <c r="E4" s="1" t="s">
        <v>2240</v>
      </c>
      <c r="F4" s="4" t="s">
        <v>2241</v>
      </c>
      <c r="G4" s="4" t="s">
        <v>81</v>
      </c>
      <c r="H4" s="4" t="s">
        <v>2234</v>
      </c>
      <c r="I4" s="4" t="s">
        <v>2242</v>
      </c>
      <c r="J4" t="s">
        <v>2243</v>
      </c>
      <c r="K4" s="1" t="s">
        <v>2244</v>
      </c>
      <c r="L4" s="1" t="s">
        <v>2238</v>
      </c>
      <c r="M4" s="1" t="s">
        <v>81</v>
      </c>
      <c r="N4" s="9"/>
      <c r="O4" s="9"/>
      <c r="P4" s="9"/>
      <c r="Q4" s="9"/>
      <c r="R4" s="10" t="str">
        <f>HYPERLINK(_xlfn.CONCAT("https://mhmpl.sangamcrm.com/tickets/",Ticket3[[#This Row],[Id]]))</f>
        <v>https://mhmpl.sangamcrm.com/tickets/a57656ab-3c6c-47f9-9f80-153cb386b197</v>
      </c>
      <c r="S4" s="9" t="str">
        <f>_xlfn.CONCAT(Ticket3[[#This Row],[Account Name]]," ",Ticket3[[#This Row],[City]]," ",Ticket3[[#This Row],[Product Name]]," ",Ticket3[[#This Row],[Ticket Type]]," ")</f>
        <v xml:space="preserve">Sri Prakash Eye Hospital (Appasamy Associates) Anantapur TMS-4N PMS </v>
      </c>
    </row>
    <row r="5" spans="1:19" x14ac:dyDescent="0.25">
      <c r="A5" s="3">
        <v>52044</v>
      </c>
      <c r="B5" s="4" t="s">
        <v>2245</v>
      </c>
      <c r="C5" s="2">
        <v>46212</v>
      </c>
      <c r="D5" s="1" t="s">
        <v>2246</v>
      </c>
      <c r="E5" s="1" t="s">
        <v>2247</v>
      </c>
      <c r="F5" s="4" t="s">
        <v>2248</v>
      </c>
      <c r="G5" s="4" t="s">
        <v>425</v>
      </c>
      <c r="H5" s="4" t="s">
        <v>2249</v>
      </c>
      <c r="I5" s="4" t="s">
        <v>2237</v>
      </c>
      <c r="J5" t="s">
        <v>2250</v>
      </c>
      <c r="K5" s="1" t="s">
        <v>2237</v>
      </c>
      <c r="L5" s="1" t="s">
        <v>2251</v>
      </c>
      <c r="M5" s="1" t="s">
        <v>425</v>
      </c>
      <c r="N5" s="9">
        <v>46273</v>
      </c>
      <c r="O5" s="9">
        <v>46114</v>
      </c>
      <c r="P5" s="9">
        <v>45912</v>
      </c>
      <c r="Q5" s="9"/>
      <c r="R5" s="10" t="str">
        <f>HYPERLINK(_xlfn.CONCAT("https://mhmpl.sangamcrm.com/tickets/",Ticket3[[#This Row],[Id]]))</f>
        <v>https://mhmpl.sangamcrm.com/tickets/c5dd31e3-6af7-4b9d-b700-5680e35600e7</v>
      </c>
      <c r="S5" s="9" t="str">
        <f>_xlfn.CONCAT(Ticket3[[#This Row],[Account Name]]," ",Ticket3[[#This Row],[City]]," ",Ticket3[[#This Row],[Product Name]]," ",Ticket3[[#This Row],[Ticket Type]]," ")</f>
        <v xml:space="preserve">LITTLE FLOWER HOSPITAL ANGAMALY E-Eye Service </v>
      </c>
    </row>
    <row r="6" spans="1:19" x14ac:dyDescent="0.25">
      <c r="A6" s="3">
        <v>52714</v>
      </c>
      <c r="B6" s="4" t="s">
        <v>2230</v>
      </c>
      <c r="C6" s="2">
        <v>46356</v>
      </c>
      <c r="D6" s="1" t="s">
        <v>2883</v>
      </c>
      <c r="E6" s="1" t="s">
        <v>2884</v>
      </c>
      <c r="F6" s="4" t="s">
        <v>2611</v>
      </c>
      <c r="G6" s="4" t="s">
        <v>1105</v>
      </c>
      <c r="H6" s="4" t="s">
        <v>2234</v>
      </c>
      <c r="I6" s="4" t="s">
        <v>2235</v>
      </c>
      <c r="J6" t="s">
        <v>2885</v>
      </c>
      <c r="K6" s="1" t="s">
        <v>2237</v>
      </c>
      <c r="L6" s="1" t="s">
        <v>2238</v>
      </c>
      <c r="M6" s="1" t="s">
        <v>1105</v>
      </c>
      <c r="N6" s="9">
        <v>46149</v>
      </c>
      <c r="O6" s="9">
        <v>45967</v>
      </c>
      <c r="P6" s="9">
        <v>44979</v>
      </c>
      <c r="Q6" s="9"/>
      <c r="R6" s="10" t="str">
        <f>HYPERLINK(_xlfn.CONCAT("https://mhmpl.sangamcrm.com/tickets/",Ticket3[[#This Row],[Id]]))</f>
        <v>https://mhmpl.sangamcrm.com/tickets/a7c8319c-176f-4f6a-af5a-deebae3e7b54</v>
      </c>
      <c r="S6" s="9" t="str">
        <f>_xlfn.CONCAT(Ticket3[[#This Row],[Account Name]]," ",Ticket3[[#This Row],[City]]," ",Ticket3[[#This Row],[Product Name]]," ",Ticket3[[#This Row],[Ticket Type]]," ")</f>
        <v xml:space="preserve">Dr.Anups Insight Eye Hospital ATTINGAL RC-800 PMS </v>
      </c>
    </row>
    <row r="7" spans="1:19" x14ac:dyDescent="0.25">
      <c r="A7" s="3">
        <v>49587</v>
      </c>
      <c r="B7" s="4" t="s">
        <v>2230</v>
      </c>
      <c r="C7" s="2">
        <v>46326</v>
      </c>
      <c r="D7" s="1" t="s">
        <v>2252</v>
      </c>
      <c r="E7" s="1" t="s">
        <v>2253</v>
      </c>
      <c r="F7" s="4" t="s">
        <v>2254</v>
      </c>
      <c r="G7" s="4" t="s">
        <v>404</v>
      </c>
      <c r="H7" s="4" t="s">
        <v>2234</v>
      </c>
      <c r="I7" s="4" t="s">
        <v>2255</v>
      </c>
      <c r="J7" t="s">
        <v>2256</v>
      </c>
      <c r="K7" s="1" t="s">
        <v>2257</v>
      </c>
      <c r="L7" s="1" t="s">
        <v>2283</v>
      </c>
      <c r="M7" s="1" t="s">
        <v>404</v>
      </c>
      <c r="N7" s="9">
        <v>45965</v>
      </c>
      <c r="O7" s="9"/>
      <c r="P7" s="9"/>
      <c r="Q7" s="9"/>
      <c r="R7" s="10" t="str">
        <f>HYPERLINK(_xlfn.CONCAT("https://mhmpl.sangamcrm.com/tickets/",Ticket3[[#This Row],[Id]]))</f>
        <v>https://mhmpl.sangamcrm.com/tickets/7715f5cd-4a37-4c4b-8cc8-12d7c89a4dce</v>
      </c>
      <c r="S7" s="9" t="str">
        <f>_xlfn.CONCAT(Ticket3[[#This Row],[Account Name]]," ",Ticket3[[#This Row],[City]]," ",Ticket3[[#This Row],[Product Name]]," ",Ticket3[[#This Row],[Ticket Type]]," ")</f>
        <v xml:space="preserve">Abhi Eye Hospital ATTUR IDRA FULL PMS </v>
      </c>
    </row>
    <row r="8" spans="1:19" x14ac:dyDescent="0.25">
      <c r="A8" s="3">
        <v>55961</v>
      </c>
      <c r="B8" s="4" t="s">
        <v>2261</v>
      </c>
      <c r="C8" s="2">
        <v>46302</v>
      </c>
      <c r="D8" s="1" t="s">
        <v>2262</v>
      </c>
      <c r="E8" s="1" t="s">
        <v>2259</v>
      </c>
      <c r="F8" s="4" t="s">
        <v>2263</v>
      </c>
      <c r="G8" s="4" t="s">
        <v>16</v>
      </c>
      <c r="H8" s="4" t="s">
        <v>2249</v>
      </c>
      <c r="I8" s="4" t="s">
        <v>2260</v>
      </c>
      <c r="J8" t="s">
        <v>2264</v>
      </c>
      <c r="K8" s="1" t="s">
        <v>2260</v>
      </c>
      <c r="L8" s="1" t="s">
        <v>2251</v>
      </c>
      <c r="M8" s="1" t="s">
        <v>16</v>
      </c>
      <c r="N8" s="9"/>
      <c r="O8" s="9"/>
      <c r="P8" s="9"/>
      <c r="Q8" s="9"/>
      <c r="R8" s="10" t="str">
        <f>HYPERLINK(_xlfn.CONCAT("https://mhmpl.sangamcrm.com/tickets/",Ticket3[[#This Row],[Id]]))</f>
        <v>https://mhmpl.sangamcrm.com/tickets/8c859be5-1fd8-468c-b08d-957e9a6beccc</v>
      </c>
      <c r="S8" s="9" t="str">
        <f>_xlfn.CONCAT(Ticket3[[#This Row],[Account Name]]," ",Ticket3[[#This Row],[City]]," ",Ticket3[[#This Row],[Product Name]]," ",Ticket3[[#This Row],[Ticket Type]]," ")</f>
        <v xml:space="preserve">NARAYANA NETHRALAYA 4 BANGALORE MS-39 Service </v>
      </c>
    </row>
    <row r="9" spans="1:19" x14ac:dyDescent="0.25">
      <c r="A9" s="3">
        <v>57078</v>
      </c>
      <c r="B9" s="4" t="s">
        <v>2258</v>
      </c>
      <c r="C9" s="2">
        <v>46325</v>
      </c>
      <c r="D9" s="1" t="s">
        <v>2741</v>
      </c>
      <c r="E9" s="1" t="s">
        <v>2259</v>
      </c>
      <c r="F9" s="4" t="s">
        <v>2303</v>
      </c>
      <c r="G9" s="4" t="s">
        <v>34</v>
      </c>
      <c r="H9" s="4" t="s">
        <v>2249</v>
      </c>
      <c r="I9" s="4" t="s">
        <v>2266</v>
      </c>
      <c r="J9" t="s">
        <v>2742</v>
      </c>
      <c r="K9" s="1" t="s">
        <v>2266</v>
      </c>
      <c r="L9" s="1" t="s">
        <v>2251</v>
      </c>
      <c r="M9" s="1" t="s">
        <v>34</v>
      </c>
      <c r="N9" s="9"/>
      <c r="O9" s="9"/>
      <c r="P9" s="9"/>
      <c r="Q9" s="9"/>
      <c r="R9" s="10" t="str">
        <f>HYPERLINK(_xlfn.CONCAT("https://mhmpl.sangamcrm.com/tickets/",Ticket3[[#This Row],[Id]]))</f>
        <v>https://mhmpl.sangamcrm.com/tickets/7998028b-352d-4f1f-9434-9de622122c06</v>
      </c>
      <c r="S9" s="9" t="str">
        <f>_xlfn.CONCAT(Ticket3[[#This Row],[Account Name]]," ",Ticket3[[#This Row],[City]]," ",Ticket3[[#This Row],[Product Name]]," ",Ticket3[[#This Row],[Ticket Type]]," ")</f>
        <v xml:space="preserve">NARAYANA NETHRALAYA 1 BANGALORE EX500 Service </v>
      </c>
    </row>
    <row r="10" spans="1:19" x14ac:dyDescent="0.25">
      <c r="A10" s="3">
        <v>43599</v>
      </c>
      <c r="B10" s="4" t="s">
        <v>2230</v>
      </c>
      <c r="C10" s="2">
        <v>46326</v>
      </c>
      <c r="D10" s="1" t="s">
        <v>2267</v>
      </c>
      <c r="E10" s="1" t="s">
        <v>2268</v>
      </c>
      <c r="F10" s="4" t="s">
        <v>2269</v>
      </c>
      <c r="G10" s="4" t="s">
        <v>227</v>
      </c>
      <c r="H10" s="4" t="s">
        <v>2234</v>
      </c>
      <c r="I10" s="4" t="s">
        <v>2266</v>
      </c>
      <c r="J10" t="s">
        <v>2270</v>
      </c>
      <c r="K10" s="1" t="s">
        <v>2266</v>
      </c>
      <c r="L10" s="1" t="s">
        <v>2283</v>
      </c>
      <c r="M10" s="1" t="s">
        <v>227</v>
      </c>
      <c r="N10" s="9"/>
      <c r="O10" s="9"/>
      <c r="P10" s="9"/>
      <c r="Q10" s="9"/>
      <c r="R10" s="10" t="str">
        <f>HYPERLINK(_xlfn.CONCAT("https://mhmpl.sangamcrm.com/tickets/",Ticket3[[#This Row],[Id]]))</f>
        <v>https://mhmpl.sangamcrm.com/tickets/24c56cdc-a79b-4f40-930a-6e35c46d1272</v>
      </c>
      <c r="S10" s="9" t="str">
        <f>_xlfn.CONCAT(Ticket3[[#This Row],[Account Name]]," ",Ticket3[[#This Row],[City]]," ",Ticket3[[#This Row],[Product Name]]," ",Ticket3[[#This Row],[Ticket Type]]," ")</f>
        <v xml:space="preserve">Idrishti eye hospital Bangalore DGH 6000 PMS </v>
      </c>
    </row>
    <row r="11" spans="1:19" x14ac:dyDescent="0.25">
      <c r="A11" s="3">
        <v>43598</v>
      </c>
      <c r="B11" s="4" t="s">
        <v>2230</v>
      </c>
      <c r="C11" s="2">
        <v>46202</v>
      </c>
      <c r="D11" s="1" t="s">
        <v>2267</v>
      </c>
      <c r="E11" s="1" t="s">
        <v>2268</v>
      </c>
      <c r="F11" s="4" t="s">
        <v>2269</v>
      </c>
      <c r="G11" s="4" t="s">
        <v>227</v>
      </c>
      <c r="H11" s="4" t="s">
        <v>2234</v>
      </c>
      <c r="I11" s="4" t="s">
        <v>2271</v>
      </c>
      <c r="J11" t="s">
        <v>2272</v>
      </c>
      <c r="K11" s="1" t="s">
        <v>2266</v>
      </c>
      <c r="L11" s="1" t="s">
        <v>2251</v>
      </c>
      <c r="M11" s="1" t="s">
        <v>227</v>
      </c>
      <c r="N11" s="9"/>
      <c r="O11" s="9"/>
      <c r="P11" s="9"/>
      <c r="Q11" s="9"/>
      <c r="R11" s="10" t="str">
        <f>HYPERLINK(_xlfn.CONCAT("https://mhmpl.sangamcrm.com/tickets/",Ticket3[[#This Row],[Id]]))</f>
        <v>https://mhmpl.sangamcrm.com/tickets/4915b4cd-9f45-48bb-ba92-664cea9ae267</v>
      </c>
      <c r="S11" s="9" t="str">
        <f>_xlfn.CONCAT(Ticket3[[#This Row],[Account Name]]," ",Ticket3[[#This Row],[City]]," ",Ticket3[[#This Row],[Product Name]]," ",Ticket3[[#This Row],[Ticket Type]]," ")</f>
        <v xml:space="preserve">Idrishti eye hospital Bangalore DGH 6000 PMS </v>
      </c>
    </row>
    <row r="12" spans="1:19" x14ac:dyDescent="0.25">
      <c r="A12" s="3">
        <v>54219</v>
      </c>
      <c r="B12" s="4" t="s">
        <v>2273</v>
      </c>
      <c r="C12" s="2">
        <v>46269</v>
      </c>
      <c r="D12" s="1" t="s">
        <v>2274</v>
      </c>
      <c r="E12" s="1" t="s">
        <v>2259</v>
      </c>
      <c r="F12" s="4" t="s">
        <v>2275</v>
      </c>
      <c r="G12" s="4" t="s">
        <v>189</v>
      </c>
      <c r="H12" s="4" t="s">
        <v>2249</v>
      </c>
      <c r="I12" s="4" t="s">
        <v>2271</v>
      </c>
      <c r="J12" t="s">
        <v>2276</v>
      </c>
      <c r="K12" s="1" t="s">
        <v>2266</v>
      </c>
      <c r="L12" s="1" t="s">
        <v>2251</v>
      </c>
      <c r="M12" s="1" t="s">
        <v>189</v>
      </c>
      <c r="N12" s="9">
        <v>46198</v>
      </c>
      <c r="O12" s="9"/>
      <c r="P12" s="9"/>
      <c r="Q12" s="9"/>
      <c r="R12" s="10" t="str">
        <f>HYPERLINK(_xlfn.CONCAT("https://mhmpl.sangamcrm.com/tickets/",Ticket3[[#This Row],[Id]]))</f>
        <v>https://mhmpl.sangamcrm.com/tickets/c72e2706-40af-4a93-835e-ab601af3a092</v>
      </c>
      <c r="S12" s="9" t="str">
        <f>_xlfn.CONCAT(Ticket3[[#This Row],[Account Name]]," ",Ticket3[[#This Row],[City]]," ",Ticket3[[#This Row],[Product Name]]," ",Ticket3[[#This Row],[Ticket Type]]," ")</f>
        <v xml:space="preserve">MINTO OPTHALMIC HOSPITAL BANGALORE EM-4000 Service </v>
      </c>
    </row>
    <row r="13" spans="1:19" x14ac:dyDescent="0.25">
      <c r="A13" s="3">
        <v>54939</v>
      </c>
      <c r="B13" s="4" t="s">
        <v>2261</v>
      </c>
      <c r="C13" s="2">
        <v>46280</v>
      </c>
      <c r="D13" s="1" t="s">
        <v>2277</v>
      </c>
      <c r="E13" s="1" t="s">
        <v>2259</v>
      </c>
      <c r="F13" s="4" t="s">
        <v>2278</v>
      </c>
      <c r="G13" s="4" t="s">
        <v>352</v>
      </c>
      <c r="H13" s="4" t="s">
        <v>2249</v>
      </c>
      <c r="I13" s="4" t="s">
        <v>2266</v>
      </c>
      <c r="J13" t="s">
        <v>2279</v>
      </c>
      <c r="K13" s="1" t="s">
        <v>2266</v>
      </c>
      <c r="L13" s="1" t="s">
        <v>2251</v>
      </c>
      <c r="M13" s="1" t="s">
        <v>352</v>
      </c>
      <c r="N13" s="9">
        <v>46149</v>
      </c>
      <c r="O13" s="9">
        <v>46012</v>
      </c>
      <c r="P13" s="9"/>
      <c r="Q13" s="9"/>
      <c r="R13" s="10" t="str">
        <f>HYPERLINK(_xlfn.CONCAT("https://mhmpl.sangamcrm.com/tickets/",Ticket3[[#This Row],[Id]]))</f>
        <v>https://mhmpl.sangamcrm.com/tickets/9c75b94a-e2d1-47e0-8e51-05344b792d83</v>
      </c>
      <c r="S13" s="9" t="str">
        <f>_xlfn.CONCAT(Ticket3[[#This Row],[Account Name]]," ",Ticket3[[#This Row],[City]]," ",Ticket3[[#This Row],[Product Name]]," ",Ticket3[[#This Row],[Ticket Type]]," ")</f>
        <v xml:space="preserve">Vasan Eye Care(Jayanagar) BANGALORE EVOLUTION 3E Service </v>
      </c>
    </row>
    <row r="14" spans="1:19" x14ac:dyDescent="0.25">
      <c r="A14" s="3">
        <v>51294</v>
      </c>
      <c r="B14" s="4" t="s">
        <v>2230</v>
      </c>
      <c r="C14" s="2">
        <v>46356</v>
      </c>
      <c r="D14" s="1" t="s">
        <v>2297</v>
      </c>
      <c r="E14" s="1" t="s">
        <v>2259</v>
      </c>
      <c r="F14" s="4" t="s">
        <v>2809</v>
      </c>
      <c r="G14" s="4" t="s">
        <v>376</v>
      </c>
      <c r="H14" s="4" t="s">
        <v>2234</v>
      </c>
      <c r="I14" s="4" t="s">
        <v>2281</v>
      </c>
      <c r="J14" t="s">
        <v>2810</v>
      </c>
      <c r="K14" s="1" t="s">
        <v>2266</v>
      </c>
      <c r="L14" s="1" t="s">
        <v>2238</v>
      </c>
      <c r="M14" s="1" t="s">
        <v>376</v>
      </c>
      <c r="N14" s="9">
        <v>46116</v>
      </c>
      <c r="O14" s="9">
        <v>45983</v>
      </c>
      <c r="P14" s="9"/>
      <c r="Q14" s="9"/>
      <c r="R14" s="10" t="str">
        <f>HYPERLINK(_xlfn.CONCAT("https://mhmpl.sangamcrm.com/tickets/",Ticket3[[#This Row],[Id]]))</f>
        <v>https://mhmpl.sangamcrm.com/tickets/6f79cfec-cd29-425f-aa94-296843f3ff15</v>
      </c>
      <c r="S14" s="9" t="str">
        <f>_xlfn.CONCAT(Ticket3[[#This Row],[Account Name]]," ",Ticket3[[#This Row],[City]]," ",Ticket3[[#This Row],[Product Name]]," ",Ticket3[[#This Row],[Ticket Type]]," ")</f>
        <v xml:space="preserve">INSTITUTE OF DIABETES AND EYE CARE(NETHRADHAMA GROUP) BANGALORE HS-60SL PMS </v>
      </c>
    </row>
    <row r="15" spans="1:19" x14ac:dyDescent="0.25">
      <c r="A15" s="3">
        <v>51160</v>
      </c>
      <c r="B15" s="4" t="s">
        <v>2230</v>
      </c>
      <c r="C15" s="2">
        <v>46356</v>
      </c>
      <c r="D15" s="1" t="s">
        <v>2811</v>
      </c>
      <c r="E15" s="1" t="s">
        <v>2259</v>
      </c>
      <c r="F15" s="4" t="s">
        <v>2275</v>
      </c>
      <c r="G15" s="4" t="s">
        <v>379</v>
      </c>
      <c r="H15" s="4" t="s">
        <v>2234</v>
      </c>
      <c r="I15" s="4" t="s">
        <v>2271</v>
      </c>
      <c r="J15" t="s">
        <v>2812</v>
      </c>
      <c r="K15" s="1" t="s">
        <v>2266</v>
      </c>
      <c r="L15" s="1" t="s">
        <v>2238</v>
      </c>
      <c r="M15" s="1" t="s">
        <v>379</v>
      </c>
      <c r="N15" s="9">
        <v>46116</v>
      </c>
      <c r="O15" s="9">
        <v>45979</v>
      </c>
      <c r="P15" s="9"/>
      <c r="Q15" s="9"/>
      <c r="R15" s="10" t="str">
        <f>HYPERLINK(_xlfn.CONCAT("https://mhmpl.sangamcrm.com/tickets/",Ticket3[[#This Row],[Id]]))</f>
        <v>https://mhmpl.sangamcrm.com/tickets/b5f395a9-77f0-4366-9e88-0c5974f89855</v>
      </c>
      <c r="S15" s="9" t="str">
        <f>_xlfn.CONCAT(Ticket3[[#This Row],[Account Name]]," ",Ticket3[[#This Row],[City]]," ",Ticket3[[#This Row],[Product Name]]," ",Ticket3[[#This Row],[Ticket Type]]," ")</f>
        <v xml:space="preserve">NETHRADHAMA BANGALORE EM-4000 PMS </v>
      </c>
    </row>
    <row r="16" spans="1:19" x14ac:dyDescent="0.25">
      <c r="A16" s="3">
        <v>49888</v>
      </c>
      <c r="B16" s="4" t="s">
        <v>2230</v>
      </c>
      <c r="C16" s="2">
        <v>46326</v>
      </c>
      <c r="D16" s="1" t="s">
        <v>2280</v>
      </c>
      <c r="E16" s="1" t="s">
        <v>2259</v>
      </c>
      <c r="F16" s="4" t="s">
        <v>2275</v>
      </c>
      <c r="G16" s="4" t="s">
        <v>398</v>
      </c>
      <c r="H16" s="4" t="s">
        <v>2234</v>
      </c>
      <c r="I16" s="4" t="s">
        <v>2281</v>
      </c>
      <c r="J16" t="s">
        <v>2282</v>
      </c>
      <c r="K16" s="1" t="s">
        <v>2266</v>
      </c>
      <c r="L16" s="1" t="s">
        <v>2283</v>
      </c>
      <c r="M16" s="1" t="s">
        <v>398</v>
      </c>
      <c r="N16" s="9">
        <v>46149</v>
      </c>
      <c r="O16" s="9">
        <v>46031</v>
      </c>
      <c r="P16" s="9"/>
      <c r="Q16" s="9"/>
      <c r="R16" s="10" t="str">
        <f>HYPERLINK(_xlfn.CONCAT("https://mhmpl.sangamcrm.com/tickets/",Ticket3[[#This Row],[Id]]))</f>
        <v>https://mhmpl.sangamcrm.com/tickets/b57cc5b2-8ba5-4769-be30-79133e0b2592</v>
      </c>
      <c r="S16" s="9" t="str">
        <f>_xlfn.CONCAT(Ticket3[[#This Row],[Account Name]]," ",Ticket3[[#This Row],[City]]," ",Ticket3[[#This Row],[Product Name]]," ",Ticket3[[#This Row],[Ticket Type]]," ")</f>
        <v xml:space="preserve">East point college of medical science BANGALORE EM-4000 PMS </v>
      </c>
    </row>
    <row r="17" spans="1:19" x14ac:dyDescent="0.25">
      <c r="A17" s="3">
        <v>42744</v>
      </c>
      <c r="B17" s="4" t="s">
        <v>2230</v>
      </c>
      <c r="C17" s="2">
        <v>46326</v>
      </c>
      <c r="D17" s="1" t="s">
        <v>2285</v>
      </c>
      <c r="E17" s="1" t="s">
        <v>2259</v>
      </c>
      <c r="F17" s="4" t="s">
        <v>2286</v>
      </c>
      <c r="G17" s="4" t="s">
        <v>549</v>
      </c>
      <c r="H17" s="4" t="s">
        <v>2234</v>
      </c>
      <c r="I17" s="4" t="s">
        <v>2271</v>
      </c>
      <c r="J17" t="s">
        <v>2287</v>
      </c>
      <c r="K17" s="1" t="s">
        <v>2266</v>
      </c>
      <c r="L17" s="1" t="s">
        <v>2283</v>
      </c>
      <c r="M17" s="1" t="s">
        <v>549</v>
      </c>
      <c r="N17" s="9">
        <v>46201</v>
      </c>
      <c r="O17" s="9">
        <v>45983</v>
      </c>
      <c r="P17" s="9">
        <v>45744</v>
      </c>
      <c r="Q17" s="9"/>
      <c r="R17" s="10" t="str">
        <f>HYPERLINK(_xlfn.CONCAT("https://mhmpl.sangamcrm.com/tickets/",Ticket3[[#This Row],[Id]]))</f>
        <v>https://mhmpl.sangamcrm.com/tickets/822036e9-04d6-4143-aaa5-3e3456415f6d</v>
      </c>
      <c r="S17" s="9" t="str">
        <f>_xlfn.CONCAT(Ticket3[[#This Row],[Account Name]]," ",Ticket3[[#This Row],[City]]," ",Ticket3[[#This Row],[Product Name]]," ",Ticket3[[#This Row],[Ticket Type]]," ")</f>
        <v xml:space="preserve">DR.ZAMINDAR'S MICROSURGICAL EYE CENTRE main branch BANGALORE REVO FC PMS </v>
      </c>
    </row>
    <row r="18" spans="1:19" x14ac:dyDescent="0.25">
      <c r="A18" s="3">
        <v>56889</v>
      </c>
      <c r="B18" s="4" t="s">
        <v>2230</v>
      </c>
      <c r="C18" s="2">
        <v>46356</v>
      </c>
      <c r="D18" s="1" t="s">
        <v>2836</v>
      </c>
      <c r="E18" s="1" t="s">
        <v>2259</v>
      </c>
      <c r="F18" s="4" t="s">
        <v>2275</v>
      </c>
      <c r="G18" s="4" t="s">
        <v>759</v>
      </c>
      <c r="H18" s="4" t="s">
        <v>2234</v>
      </c>
      <c r="I18" s="4" t="s">
        <v>2271</v>
      </c>
      <c r="J18" t="s">
        <v>2837</v>
      </c>
      <c r="K18" s="1" t="s">
        <v>2266</v>
      </c>
      <c r="L18" s="1" t="s">
        <v>2238</v>
      </c>
      <c r="M18" s="1" t="s">
        <v>759</v>
      </c>
      <c r="N18" s="9">
        <v>46037</v>
      </c>
      <c r="O18" s="9">
        <v>45814</v>
      </c>
      <c r="P18" s="9">
        <v>45650</v>
      </c>
      <c r="Q18" s="9">
        <v>45446</v>
      </c>
      <c r="R18" s="10" t="str">
        <f>HYPERLINK(_xlfn.CONCAT("https://mhmpl.sangamcrm.com/tickets/",Ticket3[[#This Row],[Id]]))</f>
        <v>https://mhmpl.sangamcrm.com/tickets/38b286fc-9b50-4fac-bde6-82d139a466dd</v>
      </c>
      <c r="S18" s="9" t="str">
        <f>_xlfn.CONCAT(Ticket3[[#This Row],[Account Name]]," ",Ticket3[[#This Row],[City]]," ",Ticket3[[#This Row],[Product Name]]," ",Ticket3[[#This Row],[Ticket Type]]," ")</f>
        <v xml:space="preserve">JYOTHI - THE LASIK VISION CENTER BANGALORE EM-4000 PMS </v>
      </c>
    </row>
    <row r="19" spans="1:19" x14ac:dyDescent="0.25">
      <c r="A19" s="3">
        <v>34737</v>
      </c>
      <c r="B19" s="4" t="s">
        <v>2230</v>
      </c>
      <c r="C19" s="2">
        <v>46356</v>
      </c>
      <c r="D19" s="1" t="s">
        <v>2714</v>
      </c>
      <c r="E19" s="1" t="s">
        <v>2259</v>
      </c>
      <c r="F19" s="4" t="s">
        <v>2303</v>
      </c>
      <c r="G19" s="4" t="s">
        <v>769</v>
      </c>
      <c r="H19" s="4" t="s">
        <v>2234</v>
      </c>
      <c r="I19" s="4" t="s">
        <v>2266</v>
      </c>
      <c r="J19" t="s">
        <v>2846</v>
      </c>
      <c r="K19" s="1" t="s">
        <v>2266</v>
      </c>
      <c r="L19" s="1" t="s">
        <v>2238</v>
      </c>
      <c r="M19" s="1" t="s">
        <v>769</v>
      </c>
      <c r="N19" s="9">
        <v>46213</v>
      </c>
      <c r="O19" s="9">
        <v>45995</v>
      </c>
      <c r="P19" s="9">
        <v>45834</v>
      </c>
      <c r="Q19" s="9">
        <v>45631</v>
      </c>
      <c r="R19" s="10" t="str">
        <f>HYPERLINK(_xlfn.CONCAT("https://mhmpl.sangamcrm.com/tickets/",Ticket3[[#This Row],[Id]]))</f>
        <v>https://mhmpl.sangamcrm.com/tickets/63fb9d0b-8a25-4bf8-ab8b-7fb037d626c8</v>
      </c>
      <c r="S19" s="9" t="str">
        <f>_xlfn.CONCAT(Ticket3[[#This Row],[Account Name]]," ",Ticket3[[#This Row],[City]]," ",Ticket3[[#This Row],[Product Name]]," ",Ticket3[[#This Row],[Ticket Type]]," ")</f>
        <v xml:space="preserve">DEVI SUPER SPECIALITY EYE HOSPITAL PVT.LTD. BANGALORE EX500 PMS </v>
      </c>
    </row>
    <row r="20" spans="1:19" x14ac:dyDescent="0.25">
      <c r="A20" s="3">
        <v>37643</v>
      </c>
      <c r="B20" s="4" t="s">
        <v>2698</v>
      </c>
      <c r="C20" s="2">
        <v>46326</v>
      </c>
      <c r="D20" s="1" t="s">
        <v>2699</v>
      </c>
      <c r="E20" s="1" t="s">
        <v>2259</v>
      </c>
      <c r="F20" s="4" t="s">
        <v>2643</v>
      </c>
      <c r="G20" s="4" t="s">
        <v>792</v>
      </c>
      <c r="H20" s="4" t="s">
        <v>2234</v>
      </c>
      <c r="I20" s="4" t="s">
        <v>2266</v>
      </c>
      <c r="J20" t="s">
        <v>2644</v>
      </c>
      <c r="K20" s="1" t="s">
        <v>2266</v>
      </c>
      <c r="L20" s="1" t="s">
        <v>2283</v>
      </c>
      <c r="M20" s="1" t="s">
        <v>792</v>
      </c>
      <c r="N20" s="9">
        <v>46155</v>
      </c>
      <c r="O20" s="9">
        <v>45982</v>
      </c>
      <c r="P20" s="9">
        <v>45818</v>
      </c>
      <c r="Q20" s="9">
        <v>45653</v>
      </c>
      <c r="R20" s="10" t="str">
        <f>HYPERLINK(_xlfn.CONCAT("https://mhmpl.sangamcrm.com/tickets/",Ticket3[[#This Row],[Id]]))</f>
        <v>https://mhmpl.sangamcrm.com/tickets/a4d91883-bdc1-4ba2-9676-78b758715785</v>
      </c>
      <c r="S20" s="9" t="str">
        <f>_xlfn.CONCAT(Ticket3[[#This Row],[Account Name]]," ",Ticket3[[#This Row],[City]]," ",Ticket3[[#This Row],[Product Name]]," ",Ticket3[[#This Row],[Ticket Type]]," ")</f>
        <v xml:space="preserve">COMMAND HOSPITAL AIRFORCE BANGALORE BANGALORE AL-4000 PMS </v>
      </c>
    </row>
    <row r="21" spans="1:19" x14ac:dyDescent="0.25">
      <c r="A21" s="3">
        <v>56820</v>
      </c>
      <c r="B21" s="4" t="s">
        <v>2230</v>
      </c>
      <c r="C21" s="2">
        <v>46356</v>
      </c>
      <c r="D21" s="1" t="s">
        <v>2890</v>
      </c>
      <c r="E21" s="1" t="s">
        <v>2259</v>
      </c>
      <c r="F21" s="4" t="s">
        <v>2288</v>
      </c>
      <c r="G21" s="4" t="s">
        <v>1132</v>
      </c>
      <c r="H21" s="4" t="s">
        <v>2234</v>
      </c>
      <c r="I21" s="4" t="s">
        <v>2281</v>
      </c>
      <c r="J21" t="s">
        <v>2891</v>
      </c>
      <c r="K21" s="1" t="s">
        <v>2266</v>
      </c>
      <c r="L21" s="1" t="s">
        <v>2238</v>
      </c>
      <c r="M21" s="1" t="s">
        <v>1132</v>
      </c>
      <c r="N21" s="9">
        <v>46321</v>
      </c>
      <c r="O21" s="9">
        <v>46046</v>
      </c>
      <c r="P21" s="9">
        <v>45818</v>
      </c>
      <c r="Q21" s="9">
        <v>45614</v>
      </c>
      <c r="R21" s="10" t="str">
        <f>HYPERLINK(_xlfn.CONCAT("https://mhmpl.sangamcrm.com/tickets/",Ticket3[[#This Row],[Id]]))</f>
        <v>https://mhmpl.sangamcrm.com/tickets/fe651030-aaef-4477-80e0-c5997245c3bb</v>
      </c>
      <c r="S21" s="9" t="str">
        <f>_xlfn.CONCAT(Ticket3[[#This Row],[Account Name]]," ",Ticket3[[#This Row],[City]]," ",Ticket3[[#This Row],[Product Name]]," ",Ticket3[[#This Row],[Ticket Type]]," ")</f>
        <v xml:space="preserve">Eye Foundation LTD (Retina Institute of Karnataka) BANGALORE HS-2522BL PMS </v>
      </c>
    </row>
    <row r="22" spans="1:19" x14ac:dyDescent="0.25">
      <c r="A22" s="3">
        <v>50978</v>
      </c>
      <c r="B22" s="4" t="s">
        <v>2230</v>
      </c>
      <c r="C22" s="2">
        <v>46356</v>
      </c>
      <c r="D22" s="1" t="s">
        <v>2699</v>
      </c>
      <c r="E22" s="1" t="s">
        <v>2259</v>
      </c>
      <c r="F22" s="4" t="s">
        <v>2275</v>
      </c>
      <c r="G22" s="4" t="s">
        <v>1357</v>
      </c>
      <c r="H22" s="4" t="s">
        <v>2234</v>
      </c>
      <c r="I22" s="4" t="s">
        <v>2281</v>
      </c>
      <c r="J22" t="s">
        <v>2911</v>
      </c>
      <c r="K22" s="1" t="s">
        <v>2266</v>
      </c>
      <c r="L22" s="1" t="s">
        <v>2238</v>
      </c>
      <c r="M22" s="1" t="s">
        <v>1357</v>
      </c>
      <c r="N22" s="9">
        <v>46256</v>
      </c>
      <c r="O22" s="9">
        <v>46193</v>
      </c>
      <c r="P22" s="9">
        <v>46101</v>
      </c>
      <c r="Q22" s="9">
        <v>45833</v>
      </c>
      <c r="R22" s="10" t="str">
        <f>HYPERLINK(_xlfn.CONCAT("https://mhmpl.sangamcrm.com/tickets/",Ticket3[[#This Row],[Id]]))</f>
        <v>https://mhmpl.sangamcrm.com/tickets/127ead94-4a99-4a18-adb6-7d5729f69065</v>
      </c>
      <c r="S22" s="9" t="str">
        <f>_xlfn.CONCAT(Ticket3[[#This Row],[Account Name]]," ",Ticket3[[#This Row],[City]]," ",Ticket3[[#This Row],[Product Name]]," ",Ticket3[[#This Row],[Ticket Type]]," ")</f>
        <v xml:space="preserve">COMMAND HOSPITAL AIRFORCE BANGALORE BANGALORE EM-4000 PMS </v>
      </c>
    </row>
    <row r="23" spans="1:19" x14ac:dyDescent="0.25">
      <c r="A23" s="3">
        <v>42437</v>
      </c>
      <c r="B23" s="4" t="s">
        <v>2230</v>
      </c>
      <c r="C23" s="2">
        <v>46326</v>
      </c>
      <c r="D23" s="1" t="s">
        <v>2291</v>
      </c>
      <c r="E23" s="1" t="s">
        <v>2259</v>
      </c>
      <c r="F23" s="4" t="s">
        <v>2275</v>
      </c>
      <c r="G23" s="4" t="s">
        <v>1387</v>
      </c>
      <c r="H23" s="4" t="s">
        <v>2234</v>
      </c>
      <c r="I23" s="4" t="s">
        <v>2281</v>
      </c>
      <c r="J23" t="s">
        <v>2292</v>
      </c>
      <c r="K23" s="1" t="s">
        <v>2266</v>
      </c>
      <c r="L23" s="1" t="s">
        <v>2283</v>
      </c>
      <c r="M23" s="1" t="s">
        <v>1387</v>
      </c>
      <c r="N23" s="9">
        <v>46062</v>
      </c>
      <c r="O23" s="9">
        <v>45936</v>
      </c>
      <c r="P23" s="9">
        <v>45755</v>
      </c>
      <c r="Q23" s="9">
        <v>45555</v>
      </c>
      <c r="R23" s="10" t="str">
        <f>HYPERLINK(_xlfn.CONCAT("https://mhmpl.sangamcrm.com/tickets/",Ticket3[[#This Row],[Id]]))</f>
        <v>https://mhmpl.sangamcrm.com/tickets/39326c03-d8b9-4da5-93bb-10d773f2413e</v>
      </c>
      <c r="S23" s="9" t="str">
        <f>_xlfn.CONCAT(Ticket3[[#This Row],[Account Name]]," ",Ticket3[[#This Row],[City]]," ",Ticket3[[#This Row],[Product Name]]," ",Ticket3[[#This Row],[Ticket Type]]," ")</f>
        <v xml:space="preserve">VITTALA SUPER SPECIALITY EYE HOSP. BANGALORE EM-4000 PMS </v>
      </c>
    </row>
    <row r="24" spans="1:19" x14ac:dyDescent="0.25">
      <c r="A24" s="3">
        <v>52353</v>
      </c>
      <c r="B24" s="4" t="s">
        <v>2230</v>
      </c>
      <c r="C24" s="2">
        <v>46326</v>
      </c>
      <c r="D24" s="1" t="s">
        <v>2294</v>
      </c>
      <c r="E24" s="1" t="s">
        <v>2259</v>
      </c>
      <c r="F24" s="4" t="s">
        <v>2289</v>
      </c>
      <c r="G24" s="4" t="s">
        <v>1488</v>
      </c>
      <c r="H24" s="4" t="s">
        <v>2234</v>
      </c>
      <c r="I24" s="4" t="s">
        <v>2271</v>
      </c>
      <c r="J24" t="s">
        <v>2295</v>
      </c>
      <c r="K24" s="1" t="s">
        <v>2266</v>
      </c>
      <c r="L24" s="1" t="s">
        <v>2283</v>
      </c>
      <c r="M24" s="1" t="s">
        <v>1488</v>
      </c>
      <c r="N24" s="9">
        <v>46172</v>
      </c>
      <c r="O24" s="9">
        <v>46000</v>
      </c>
      <c r="P24" s="9">
        <v>45713</v>
      </c>
      <c r="Q24" s="9">
        <v>45531</v>
      </c>
      <c r="R24" s="10" t="str">
        <f>HYPERLINK(_xlfn.CONCAT("https://mhmpl.sangamcrm.com/tickets/",Ticket3[[#This Row],[Id]]))</f>
        <v>https://mhmpl.sangamcrm.com/tickets/03420a92-60f1-46dc-863e-426209385bea</v>
      </c>
      <c r="S24" s="9" t="str">
        <f>_xlfn.CONCAT(Ticket3[[#This Row],[Account Name]]," ",Ticket3[[#This Row],[City]]," ",Ticket3[[#This Row],[Product Name]]," ",Ticket3[[#This Row],[Ticket Type]]," ")</f>
        <v xml:space="preserve">VIKRAM EYE CLINIC BANGALORE HS-3041BL PMS </v>
      </c>
    </row>
    <row r="25" spans="1:19" x14ac:dyDescent="0.25">
      <c r="A25" s="3">
        <v>47820</v>
      </c>
      <c r="B25" s="4" t="s">
        <v>2230</v>
      </c>
      <c r="C25" s="2">
        <v>46356</v>
      </c>
      <c r="D25" s="1" t="s">
        <v>2929</v>
      </c>
      <c r="E25" s="1" t="s">
        <v>2259</v>
      </c>
      <c r="F25" s="4" t="s">
        <v>2296</v>
      </c>
      <c r="G25" s="4" t="s">
        <v>1581</v>
      </c>
      <c r="H25" s="4" t="s">
        <v>2234</v>
      </c>
      <c r="I25" s="4" t="s">
        <v>2266</v>
      </c>
      <c r="J25" t="s">
        <v>2930</v>
      </c>
      <c r="K25" s="1" t="s">
        <v>2266</v>
      </c>
      <c r="L25" s="1" t="s">
        <v>2238</v>
      </c>
      <c r="M25" s="1" t="s">
        <v>1581</v>
      </c>
      <c r="N25" s="9">
        <v>46237</v>
      </c>
      <c r="O25" s="9">
        <v>46169</v>
      </c>
      <c r="P25" s="9">
        <v>46003</v>
      </c>
      <c r="Q25" s="9">
        <v>45829</v>
      </c>
      <c r="R25" s="10" t="str">
        <f>HYPERLINK(_xlfn.CONCAT("https://mhmpl.sangamcrm.com/tickets/",Ticket3[[#This Row],[Id]]))</f>
        <v>https://mhmpl.sangamcrm.com/tickets/cc65d3d3-4456-48d8-bee3-1961f2183042</v>
      </c>
      <c r="S25" s="9" t="str">
        <f>_xlfn.CONCAT(Ticket3[[#This Row],[Account Name]]," ",Ticket3[[#This Row],[City]]," ",Ticket3[[#This Row],[Product Name]]," ",Ticket3[[#This Row],[Ticket Type]]," ")</f>
        <v xml:space="preserve">NARAYANA NETHRALAYA 2 BANGALORE FS200 PMS </v>
      </c>
    </row>
    <row r="26" spans="1:19" x14ac:dyDescent="0.25">
      <c r="A26" s="3">
        <v>47806</v>
      </c>
      <c r="B26" s="4" t="s">
        <v>2230</v>
      </c>
      <c r="C26" s="2">
        <v>46356</v>
      </c>
      <c r="D26" s="1" t="s">
        <v>2929</v>
      </c>
      <c r="E26" s="1" t="s">
        <v>2259</v>
      </c>
      <c r="F26" s="4" t="s">
        <v>2303</v>
      </c>
      <c r="G26" s="4" t="s">
        <v>1580</v>
      </c>
      <c r="H26" s="4" t="s">
        <v>2234</v>
      </c>
      <c r="I26" s="4" t="s">
        <v>2266</v>
      </c>
      <c r="J26" t="s">
        <v>2931</v>
      </c>
      <c r="K26" s="1" t="s">
        <v>2266</v>
      </c>
      <c r="L26" s="1" t="s">
        <v>2238</v>
      </c>
      <c r="M26" s="1" t="s">
        <v>1580</v>
      </c>
      <c r="N26" s="9">
        <v>46161</v>
      </c>
      <c r="O26" s="9">
        <v>45999</v>
      </c>
      <c r="P26" s="9">
        <v>45829</v>
      </c>
      <c r="Q26" s="9">
        <v>45633</v>
      </c>
      <c r="R26" s="10" t="str">
        <f>HYPERLINK(_xlfn.CONCAT("https://mhmpl.sangamcrm.com/tickets/",Ticket3[[#This Row],[Id]]))</f>
        <v>https://mhmpl.sangamcrm.com/tickets/39651c5e-46b3-4393-92fa-6ea7e08a6c63</v>
      </c>
      <c r="S26" s="9" t="str">
        <f>_xlfn.CONCAT(Ticket3[[#This Row],[Account Name]]," ",Ticket3[[#This Row],[City]]," ",Ticket3[[#This Row],[Product Name]]," ",Ticket3[[#This Row],[Ticket Type]]," ")</f>
        <v xml:space="preserve">NARAYANA NETHRALAYA 2 BANGALORE EX500 PMS </v>
      </c>
    </row>
    <row r="27" spans="1:19" x14ac:dyDescent="0.25">
      <c r="A27" s="3">
        <v>45047</v>
      </c>
      <c r="B27" s="4" t="s">
        <v>2230</v>
      </c>
      <c r="C27" s="2">
        <v>46326</v>
      </c>
      <c r="D27" s="1" t="s">
        <v>2297</v>
      </c>
      <c r="E27" s="1" t="s">
        <v>2259</v>
      </c>
      <c r="F27" s="4" t="s">
        <v>2298</v>
      </c>
      <c r="G27" s="4" t="s">
        <v>1724</v>
      </c>
      <c r="H27" s="4" t="s">
        <v>2234</v>
      </c>
      <c r="I27" s="4" t="s">
        <v>2281</v>
      </c>
      <c r="J27" t="s">
        <v>2299</v>
      </c>
      <c r="K27" s="1" t="s">
        <v>2266</v>
      </c>
      <c r="L27" s="1" t="s">
        <v>2283</v>
      </c>
      <c r="M27" s="1" t="s">
        <v>1724</v>
      </c>
      <c r="N27" s="9">
        <v>45983</v>
      </c>
      <c r="O27" s="9">
        <v>45973</v>
      </c>
      <c r="P27" s="9">
        <v>45798</v>
      </c>
      <c r="Q27" s="9"/>
      <c r="R27" s="10" t="str">
        <f>HYPERLINK(_xlfn.CONCAT("https://mhmpl.sangamcrm.com/tickets/",Ticket3[[#This Row],[Id]]))</f>
        <v>https://mhmpl.sangamcrm.com/tickets/8712a5a4-85a8-4124-9d85-5b2ef6d7c294</v>
      </c>
      <c r="S27" s="9" t="str">
        <f>_xlfn.CONCAT(Ticket3[[#This Row],[Account Name]]," ",Ticket3[[#This Row],[City]]," ",Ticket3[[#This Row],[Product Name]]," ",Ticket3[[#This Row],[Ticket Type]]," ")</f>
        <v xml:space="preserve">INSTITUTE OF DIABETES AND EYE CARE(NETHRADHAMA GROUP) BANGALORE HS-3241EO PMS </v>
      </c>
    </row>
    <row r="28" spans="1:19" x14ac:dyDescent="0.25">
      <c r="A28" s="3">
        <v>45048</v>
      </c>
      <c r="B28" s="4" t="s">
        <v>2230</v>
      </c>
      <c r="C28" s="2">
        <v>46356</v>
      </c>
      <c r="D28" s="1" t="s">
        <v>2297</v>
      </c>
      <c r="E28" s="1" t="s">
        <v>2259</v>
      </c>
      <c r="F28" s="4" t="s">
        <v>2298</v>
      </c>
      <c r="G28" s="4" t="s">
        <v>1724</v>
      </c>
      <c r="H28" s="4" t="s">
        <v>2234</v>
      </c>
      <c r="I28" s="4" t="s">
        <v>2281</v>
      </c>
      <c r="J28" t="s">
        <v>2947</v>
      </c>
      <c r="K28" s="1" t="s">
        <v>2266</v>
      </c>
      <c r="L28" s="1" t="s">
        <v>2238</v>
      </c>
      <c r="M28" s="1" t="s">
        <v>1724</v>
      </c>
      <c r="N28" s="9">
        <v>45983</v>
      </c>
      <c r="O28" s="9">
        <v>45973</v>
      </c>
      <c r="P28" s="9">
        <v>45798</v>
      </c>
      <c r="Q28" s="9"/>
      <c r="R28" s="10" t="str">
        <f>HYPERLINK(_xlfn.CONCAT("https://mhmpl.sangamcrm.com/tickets/",Ticket3[[#This Row],[Id]]))</f>
        <v>https://mhmpl.sangamcrm.com/tickets/1c79030c-d0eb-40f4-9bbb-20def427f44d</v>
      </c>
      <c r="S28" s="9" t="str">
        <f>_xlfn.CONCAT(Ticket3[[#This Row],[Account Name]]," ",Ticket3[[#This Row],[City]]," ",Ticket3[[#This Row],[Product Name]]," ",Ticket3[[#This Row],[Ticket Type]]," ")</f>
        <v xml:space="preserve">INSTITUTE OF DIABETES AND EYE CARE(NETHRADHAMA GROUP) BANGALORE HS-3241EO PMS </v>
      </c>
    </row>
    <row r="29" spans="1:19" x14ac:dyDescent="0.25">
      <c r="A29" s="3">
        <v>56592</v>
      </c>
      <c r="B29" s="4" t="s">
        <v>2312</v>
      </c>
      <c r="C29" s="2">
        <v>46316</v>
      </c>
      <c r="D29" s="1" t="s">
        <v>2674</v>
      </c>
      <c r="E29" s="1" t="s">
        <v>2259</v>
      </c>
      <c r="F29" s="4" t="s">
        <v>2278</v>
      </c>
      <c r="G29" s="4" t="s">
        <v>1813</v>
      </c>
      <c r="H29" s="4" t="s">
        <v>2249</v>
      </c>
      <c r="I29" s="4" t="s">
        <v>2281</v>
      </c>
      <c r="J29" t="s">
        <v>2675</v>
      </c>
      <c r="K29" s="1" t="s">
        <v>2266</v>
      </c>
      <c r="L29" s="1" t="s">
        <v>2251</v>
      </c>
      <c r="M29" s="1" t="s">
        <v>1813</v>
      </c>
      <c r="N29" s="9"/>
      <c r="O29" s="9"/>
      <c r="P29" s="9"/>
      <c r="Q29" s="9"/>
      <c r="R29" s="10" t="str">
        <f>HYPERLINK(_xlfn.CONCAT("https://mhmpl.sangamcrm.com/tickets/",Ticket3[[#This Row],[Id]]))</f>
        <v>https://mhmpl.sangamcrm.com/tickets/520e6182-0068-4a00-a838-703855e37293</v>
      </c>
      <c r="S29" s="9" t="str">
        <f>_xlfn.CONCAT(Ticket3[[#This Row],[Account Name]]," ",Ticket3[[#This Row],[City]]," ",Ticket3[[#This Row],[Product Name]]," ",Ticket3[[#This Row],[Ticket Type]]," ")</f>
        <v xml:space="preserve">SHEKAR EYE HOSPITAL BANGALORE EVOLUTION 3E Service </v>
      </c>
    </row>
    <row r="30" spans="1:19" x14ac:dyDescent="0.25">
      <c r="A30" s="3">
        <v>53362</v>
      </c>
      <c r="B30" s="4" t="s">
        <v>2273</v>
      </c>
      <c r="C30" s="2">
        <v>46244</v>
      </c>
      <c r="D30" s="1" t="s">
        <v>2300</v>
      </c>
      <c r="E30" s="1" t="s">
        <v>2259</v>
      </c>
      <c r="F30" s="4" t="s">
        <v>2289</v>
      </c>
      <c r="G30" s="4" t="s">
        <v>1874</v>
      </c>
      <c r="H30" s="4" t="s">
        <v>2249</v>
      </c>
      <c r="I30" s="4" t="s">
        <v>2271</v>
      </c>
      <c r="J30" t="s">
        <v>2301</v>
      </c>
      <c r="K30" s="1" t="s">
        <v>2266</v>
      </c>
      <c r="L30" s="1" t="s">
        <v>2251</v>
      </c>
      <c r="M30" s="1" t="s">
        <v>1874</v>
      </c>
      <c r="N30" s="9">
        <v>46201</v>
      </c>
      <c r="O30" s="9">
        <v>45968</v>
      </c>
      <c r="P30" s="9">
        <v>45825</v>
      </c>
      <c r="Q30" s="9">
        <v>45647</v>
      </c>
      <c r="R30" s="10" t="str">
        <f>HYPERLINK(_xlfn.CONCAT("https://mhmpl.sangamcrm.com/tickets/",Ticket3[[#This Row],[Id]]))</f>
        <v>https://mhmpl.sangamcrm.com/tickets/6db6b8e4-a508-4123-8192-d311afb93686</v>
      </c>
      <c r="S30" s="9" t="str">
        <f>_xlfn.CONCAT(Ticket3[[#This Row],[Account Name]]," ",Ticket3[[#This Row],[City]]," ",Ticket3[[#This Row],[Product Name]]," ",Ticket3[[#This Row],[Ticket Type]]," ")</f>
        <v xml:space="preserve">SRI EYE CARE BANGALORE HS-3041BL Service </v>
      </c>
    </row>
    <row r="31" spans="1:19" x14ac:dyDescent="0.25">
      <c r="A31" s="3">
        <v>48141</v>
      </c>
      <c r="B31" s="4" t="s">
        <v>2230</v>
      </c>
      <c r="C31" s="2">
        <v>46356</v>
      </c>
      <c r="D31" s="1" t="s">
        <v>2300</v>
      </c>
      <c r="E31" s="1" t="s">
        <v>2259</v>
      </c>
      <c r="F31" s="4" t="s">
        <v>2289</v>
      </c>
      <c r="G31" s="4" t="s">
        <v>1874</v>
      </c>
      <c r="H31" s="4" t="s">
        <v>2234</v>
      </c>
      <c r="I31" s="4" t="s">
        <v>2281</v>
      </c>
      <c r="J31" t="s">
        <v>2954</v>
      </c>
      <c r="K31" s="1" t="s">
        <v>2266</v>
      </c>
      <c r="L31" s="1" t="s">
        <v>2238</v>
      </c>
      <c r="M31" s="1" t="s">
        <v>1874</v>
      </c>
      <c r="N31" s="9">
        <v>46201</v>
      </c>
      <c r="O31" s="9">
        <v>45968</v>
      </c>
      <c r="P31" s="9">
        <v>45825</v>
      </c>
      <c r="Q31" s="9">
        <v>45647</v>
      </c>
      <c r="R31" s="10" t="str">
        <f>HYPERLINK(_xlfn.CONCAT("https://mhmpl.sangamcrm.com/tickets/",Ticket3[[#This Row],[Id]]))</f>
        <v>https://mhmpl.sangamcrm.com/tickets/27d51b18-b85f-4029-9b9a-80be3b19269b</v>
      </c>
      <c r="S31" s="9" t="str">
        <f>_xlfn.CONCAT(Ticket3[[#This Row],[Account Name]]," ",Ticket3[[#This Row],[City]]," ",Ticket3[[#This Row],[Product Name]]," ",Ticket3[[#This Row],[Ticket Type]]," ")</f>
        <v xml:space="preserve">SRI EYE CARE BANGALORE HS-3041BL PMS </v>
      </c>
    </row>
    <row r="32" spans="1:19" x14ac:dyDescent="0.25">
      <c r="A32" s="3">
        <v>54313</v>
      </c>
      <c r="B32" s="4" t="s">
        <v>2230</v>
      </c>
      <c r="C32" s="2">
        <v>46326</v>
      </c>
      <c r="D32" s="1" t="s">
        <v>2302</v>
      </c>
      <c r="E32" s="1" t="s">
        <v>2259</v>
      </c>
      <c r="F32" s="4" t="s">
        <v>2303</v>
      </c>
      <c r="G32" s="4" t="s">
        <v>2001</v>
      </c>
      <c r="H32" s="4" t="s">
        <v>2234</v>
      </c>
      <c r="I32" s="4" t="s">
        <v>2266</v>
      </c>
      <c r="J32" t="s">
        <v>2304</v>
      </c>
      <c r="K32" s="1" t="s">
        <v>2266</v>
      </c>
      <c r="L32" s="1" t="s">
        <v>2283</v>
      </c>
      <c r="M32" s="1" t="s">
        <v>2001</v>
      </c>
      <c r="N32" s="9">
        <v>46277</v>
      </c>
      <c r="O32" s="9">
        <v>46133</v>
      </c>
      <c r="P32" s="9">
        <v>45958</v>
      </c>
      <c r="Q32" s="9">
        <v>45742</v>
      </c>
      <c r="R32" s="10" t="str">
        <f>HYPERLINK(_xlfn.CONCAT("https://mhmpl.sangamcrm.com/tickets/",Ticket3[[#This Row],[Id]]))</f>
        <v>https://mhmpl.sangamcrm.com/tickets/976820ca-31c7-48bd-ae6f-ceb06b1cb6a6</v>
      </c>
      <c r="S32" s="9" t="str">
        <f>_xlfn.CONCAT(Ticket3[[#This Row],[Account Name]]," ",Ticket3[[#This Row],[City]]," ",Ticket3[[#This Row],[Product Name]]," ",Ticket3[[#This Row],[Ticket Type]]," ")</f>
        <v xml:space="preserve">PRABHA EYE CLINIC BANGALORE EX500 PMS </v>
      </c>
    </row>
    <row r="33" spans="1:19" x14ac:dyDescent="0.25">
      <c r="A33" s="3">
        <v>49923</v>
      </c>
      <c r="B33" s="4" t="s">
        <v>2230</v>
      </c>
      <c r="C33" s="2">
        <v>46326</v>
      </c>
      <c r="D33" s="1" t="s">
        <v>2305</v>
      </c>
      <c r="E33" s="1" t="s">
        <v>2259</v>
      </c>
      <c r="F33" s="4" t="s">
        <v>2306</v>
      </c>
      <c r="G33" s="4" t="s">
        <v>2015</v>
      </c>
      <c r="H33" s="4" t="s">
        <v>2234</v>
      </c>
      <c r="I33" s="4" t="s">
        <v>2271</v>
      </c>
      <c r="J33" t="s">
        <v>2307</v>
      </c>
      <c r="K33" s="1" t="s">
        <v>2266</v>
      </c>
      <c r="L33" s="1" t="s">
        <v>2283</v>
      </c>
      <c r="M33" s="1" t="s">
        <v>2015</v>
      </c>
      <c r="N33" s="9">
        <v>46021</v>
      </c>
      <c r="O33" s="9">
        <v>45647</v>
      </c>
      <c r="P33" s="9">
        <v>45388</v>
      </c>
      <c r="Q33" s="9">
        <v>45261</v>
      </c>
      <c r="R33" s="10" t="str">
        <f>HYPERLINK(_xlfn.CONCAT("https://mhmpl.sangamcrm.com/tickets/",Ticket3[[#This Row],[Id]]))</f>
        <v>https://mhmpl.sangamcrm.com/tickets/c80421e6-4e67-43e9-8d10-329461717de8</v>
      </c>
      <c r="S33" s="9" t="str">
        <f>_xlfn.CONCAT(Ticket3[[#This Row],[Account Name]]," ",Ticket3[[#This Row],[City]]," ",Ticket3[[#This Row],[Product Name]]," ",Ticket3[[#This Row],[Ticket Type]]," ")</f>
        <v xml:space="preserve">NAVASHAKTI NETHRALAYA BANGALORE HS-3041BD PMS </v>
      </c>
    </row>
    <row r="34" spans="1:19" x14ac:dyDescent="0.25">
      <c r="A34" s="3">
        <v>45042</v>
      </c>
      <c r="B34" s="4" t="s">
        <v>2230</v>
      </c>
      <c r="C34" s="2">
        <v>46356</v>
      </c>
      <c r="D34" s="1" t="s">
        <v>2811</v>
      </c>
      <c r="E34" s="1" t="s">
        <v>2259</v>
      </c>
      <c r="F34" s="4" t="s">
        <v>2707</v>
      </c>
      <c r="G34" s="4" t="s">
        <v>2019</v>
      </c>
      <c r="H34" s="4" t="s">
        <v>2234</v>
      </c>
      <c r="I34" s="4" t="s">
        <v>2271</v>
      </c>
      <c r="J34" t="s">
        <v>2972</v>
      </c>
      <c r="K34" s="1" t="s">
        <v>2266</v>
      </c>
      <c r="L34" s="1" t="s">
        <v>2238</v>
      </c>
      <c r="M34" s="1" t="s">
        <v>2019</v>
      </c>
      <c r="N34" s="9">
        <v>46149</v>
      </c>
      <c r="O34" s="9">
        <v>46024</v>
      </c>
      <c r="P34" s="9">
        <v>45798</v>
      </c>
      <c r="Q34" s="9">
        <v>45603</v>
      </c>
      <c r="R34" s="10" t="str">
        <f>HYPERLINK(_xlfn.CONCAT("https://mhmpl.sangamcrm.com/tickets/",Ticket3[[#This Row],[Id]]))</f>
        <v>https://mhmpl.sangamcrm.com/tickets/bc346552-bb84-4095-a4ac-581089e041bc</v>
      </c>
      <c r="S34" s="9" t="str">
        <f>_xlfn.CONCAT(Ticket3[[#This Row],[Account Name]]," ",Ticket3[[#This Row],[City]]," ",Ticket3[[#This Row],[Product Name]]," ",Ticket3[[#This Row],[Ticket Type]]," ")</f>
        <v xml:space="preserve">NETHRADHAMA BANGALORE HS-2321VD PMS </v>
      </c>
    </row>
    <row r="35" spans="1:19" x14ac:dyDescent="0.25">
      <c r="A35" s="3">
        <v>43005</v>
      </c>
      <c r="B35" s="4" t="s">
        <v>2230</v>
      </c>
      <c r="C35" s="2">
        <v>46328</v>
      </c>
      <c r="D35" s="1" t="s">
        <v>2309</v>
      </c>
      <c r="E35" s="1" t="s">
        <v>2310</v>
      </c>
      <c r="F35" s="4" t="s">
        <v>2286</v>
      </c>
      <c r="G35" s="4" t="s">
        <v>236</v>
      </c>
      <c r="H35" s="4" t="s">
        <v>2234</v>
      </c>
      <c r="I35" s="4" t="s">
        <v>2242</v>
      </c>
      <c r="J35" t="s">
        <v>2311</v>
      </c>
      <c r="K35" s="1" t="s">
        <v>2244</v>
      </c>
      <c r="L35" s="1" t="s">
        <v>2283</v>
      </c>
      <c r="M35" s="1" t="s">
        <v>236</v>
      </c>
      <c r="N35" s="9">
        <v>46140</v>
      </c>
      <c r="O35" s="9"/>
      <c r="P35" s="9"/>
      <c r="Q35" s="9"/>
      <c r="R35" s="10" t="str">
        <f>HYPERLINK(_xlfn.CONCAT("https://mhmpl.sangamcrm.com/tickets/",Ticket3[[#This Row],[Id]]))</f>
        <v>https://mhmpl.sangamcrm.com/tickets/fa9b8382-b8b4-4c71-af7f-161d361eba43</v>
      </c>
      <c r="S35" s="9" t="str">
        <f>_xlfn.CONCAT(Ticket3[[#This Row],[Account Name]]," ",Ticket3[[#This Row],[City]]," ",Ticket3[[#This Row],[Product Name]]," ",Ticket3[[#This Row],[Ticket Type]]," ")</f>
        <v xml:space="preserve">Shanmukha Netralaya Bapatla REVO FC PMS </v>
      </c>
    </row>
    <row r="36" spans="1:19" x14ac:dyDescent="0.25">
      <c r="A36" s="3">
        <v>51305</v>
      </c>
      <c r="B36" s="4" t="s">
        <v>2230</v>
      </c>
      <c r="C36" s="2">
        <v>46356</v>
      </c>
      <c r="D36" s="1" t="s">
        <v>2853</v>
      </c>
      <c r="E36" s="1" t="s">
        <v>2854</v>
      </c>
      <c r="F36" s="4" t="s">
        <v>2333</v>
      </c>
      <c r="G36" s="4" t="s">
        <v>784</v>
      </c>
      <c r="H36" s="4" t="s">
        <v>2234</v>
      </c>
      <c r="I36" s="4" t="s">
        <v>2281</v>
      </c>
      <c r="J36" t="s">
        <v>2855</v>
      </c>
      <c r="K36" s="1" t="s">
        <v>2266</v>
      </c>
      <c r="L36" s="1" t="s">
        <v>2238</v>
      </c>
      <c r="M36" s="1" t="s">
        <v>784</v>
      </c>
      <c r="N36" s="9">
        <v>46198</v>
      </c>
      <c r="O36" s="9">
        <v>45937</v>
      </c>
      <c r="P36" s="9">
        <v>45828</v>
      </c>
      <c r="Q36" s="9"/>
      <c r="R36" s="10" t="str">
        <f>HYPERLINK(_xlfn.CONCAT("https://mhmpl.sangamcrm.com/tickets/",Ticket3[[#This Row],[Id]]))</f>
        <v>https://mhmpl.sangamcrm.com/tickets/a6107a4c-fe99-4281-9407-a7c3d6de9404</v>
      </c>
      <c r="S36" s="9" t="str">
        <f>_xlfn.CONCAT(Ticket3[[#This Row],[Account Name]]," ",Ticket3[[#This Row],[City]]," ",Ticket3[[#This Row],[Product Name]]," ",Ticket3[[#This Row],[Ticket Type]]," ")</f>
        <v xml:space="preserve">Dr Kodkany's Eye Centre Belagavi Enbio PRO PMS </v>
      </c>
    </row>
    <row r="37" spans="1:19" x14ac:dyDescent="0.25">
      <c r="A37" s="3">
        <v>54186</v>
      </c>
      <c r="B37" s="4" t="s">
        <v>2273</v>
      </c>
      <c r="C37" s="2">
        <v>46266</v>
      </c>
      <c r="D37" s="1" t="s">
        <v>2313</v>
      </c>
      <c r="E37" s="1" t="s">
        <v>2314</v>
      </c>
      <c r="F37" s="4" t="s">
        <v>2315</v>
      </c>
      <c r="G37" s="4" t="s">
        <v>182</v>
      </c>
      <c r="H37" s="4" t="s">
        <v>2249</v>
      </c>
      <c r="I37" s="4" t="s">
        <v>2271</v>
      </c>
      <c r="J37" t="s">
        <v>2316</v>
      </c>
      <c r="K37" s="1" t="s">
        <v>2266</v>
      </c>
      <c r="L37" s="1" t="s">
        <v>2251</v>
      </c>
      <c r="M37" s="1" t="s">
        <v>182</v>
      </c>
      <c r="N37" s="9">
        <v>46212</v>
      </c>
      <c r="O37" s="9"/>
      <c r="P37" s="9"/>
      <c r="Q37" s="9"/>
      <c r="R37" s="10" t="str">
        <f>HYPERLINK(_xlfn.CONCAT("https://mhmpl.sangamcrm.com/tickets/",Ticket3[[#This Row],[Id]]))</f>
        <v>https://mhmpl.sangamcrm.com/tickets/2de730b6-cefb-4dde-963e-2cf24b10fa31</v>
      </c>
      <c r="S37" s="9" t="str">
        <f>_xlfn.CONCAT(Ticket3[[#This Row],[Account Name]]," ",Ticket3[[#This Row],[City]]," ",Ticket3[[#This Row],[Product Name]]," ",Ticket3[[#This Row],[Ticket Type]]," ")</f>
        <v xml:space="preserve">JAMBAGI SUPER SPECIALITY EYE INSTITUTE Belgaum REVO HR Service </v>
      </c>
    </row>
    <row r="38" spans="1:19" x14ac:dyDescent="0.25">
      <c r="A38" s="3">
        <v>56636</v>
      </c>
      <c r="B38" s="4" t="s">
        <v>2364</v>
      </c>
      <c r="C38" s="2">
        <v>46311</v>
      </c>
      <c r="D38" s="1" t="s">
        <v>2313</v>
      </c>
      <c r="E38" s="1" t="s">
        <v>2314</v>
      </c>
      <c r="F38" s="4" t="s">
        <v>2315</v>
      </c>
      <c r="G38" s="4" t="s">
        <v>182</v>
      </c>
      <c r="H38" s="4" t="s">
        <v>2663</v>
      </c>
      <c r="I38" s="4" t="s">
        <v>2281</v>
      </c>
      <c r="J38" t="s">
        <v>2664</v>
      </c>
      <c r="K38" s="1" t="s">
        <v>2266</v>
      </c>
      <c r="L38" s="1" t="s">
        <v>2251</v>
      </c>
      <c r="M38" s="1" t="s">
        <v>182</v>
      </c>
      <c r="N38" s="9">
        <v>46212</v>
      </c>
      <c r="O38" s="9"/>
      <c r="P38" s="9"/>
      <c r="Q38" s="9"/>
      <c r="R38" s="10" t="str">
        <f>HYPERLINK(_xlfn.CONCAT("https://mhmpl.sangamcrm.com/tickets/",Ticket3[[#This Row],[Id]]))</f>
        <v>https://mhmpl.sangamcrm.com/tickets/0a927ee9-d92d-4bda-9389-67ba70d230b2</v>
      </c>
      <c r="S38" s="9" t="str">
        <f>_xlfn.CONCAT(Ticket3[[#This Row],[Account Name]]," ",Ticket3[[#This Row],[City]]," ",Ticket3[[#This Row],[Product Name]]," ",Ticket3[[#This Row],[Ticket Type]]," ")</f>
        <v xml:space="preserve">JAMBAGI SUPER SPECIALITY EYE INSTITUTE Belgaum REVO HR Upgrade </v>
      </c>
    </row>
    <row r="39" spans="1:19" x14ac:dyDescent="0.25">
      <c r="A39" s="3">
        <v>43451</v>
      </c>
      <c r="B39" s="4" t="s">
        <v>2230</v>
      </c>
      <c r="C39" s="2">
        <v>46326</v>
      </c>
      <c r="D39" s="1" t="s">
        <v>2317</v>
      </c>
      <c r="E39" s="1" t="s">
        <v>2318</v>
      </c>
      <c r="F39" s="4" t="s">
        <v>2319</v>
      </c>
      <c r="G39" s="4" t="s">
        <v>2088</v>
      </c>
      <c r="H39" s="4" t="s">
        <v>2234</v>
      </c>
      <c r="I39" s="4" t="s">
        <v>2281</v>
      </c>
      <c r="J39" t="s">
        <v>2320</v>
      </c>
      <c r="K39" s="1" t="s">
        <v>2266</v>
      </c>
      <c r="L39" s="1" t="s">
        <v>2283</v>
      </c>
      <c r="M39" s="1" t="s">
        <v>2088</v>
      </c>
      <c r="N39" s="9">
        <v>46066</v>
      </c>
      <c r="O39" s="9">
        <v>45908</v>
      </c>
      <c r="P39" s="9">
        <v>45738</v>
      </c>
      <c r="Q39" s="9">
        <v>45583</v>
      </c>
      <c r="R39" s="10" t="str">
        <f>HYPERLINK(_xlfn.CONCAT("https://mhmpl.sangamcrm.com/tickets/",Ticket3[[#This Row],[Id]]))</f>
        <v>https://mhmpl.sangamcrm.com/tickets/cdf6bde5-7ccd-48ea-bae9-2a7fb362cc88</v>
      </c>
      <c r="S39" s="9" t="str">
        <f>_xlfn.CONCAT(Ticket3[[#This Row],[Account Name]]," ",Ticket3[[#This Row],[City]]," ",Ticket3[[#This Row],[Product Name]]," ",Ticket3[[#This Row],[Ticket Type]]," ")</f>
        <v xml:space="preserve">SANKALP EYE CARE CENTRE BELGAUM HS-2321BD PMS </v>
      </c>
    </row>
    <row r="40" spans="1:19" x14ac:dyDescent="0.25">
      <c r="A40" s="3">
        <v>44790</v>
      </c>
      <c r="B40" s="4" t="s">
        <v>2230</v>
      </c>
      <c r="C40" s="2">
        <v>46356</v>
      </c>
      <c r="D40" s="1" t="s">
        <v>2744</v>
      </c>
      <c r="E40" s="1" t="s">
        <v>2745</v>
      </c>
      <c r="F40" s="4" t="s">
        <v>2275</v>
      </c>
      <c r="G40" s="4" t="s">
        <v>199</v>
      </c>
      <c r="H40" s="4" t="s">
        <v>2234</v>
      </c>
      <c r="I40" s="4" t="s">
        <v>2271</v>
      </c>
      <c r="J40" t="s">
        <v>2746</v>
      </c>
      <c r="K40" s="1" t="s">
        <v>2266</v>
      </c>
      <c r="L40" s="1" t="s">
        <v>2238</v>
      </c>
      <c r="M40" s="1" t="s">
        <v>199</v>
      </c>
      <c r="N40" s="9">
        <v>46219</v>
      </c>
      <c r="O40" s="9"/>
      <c r="P40" s="9"/>
      <c r="Q40" s="9"/>
      <c r="R40" s="10" t="str">
        <f>HYPERLINK(_xlfn.CONCAT("https://mhmpl.sangamcrm.com/tickets/",Ticket3[[#This Row],[Id]]))</f>
        <v>https://mhmpl.sangamcrm.com/tickets/702526c0-92ee-492e-84b4-9344b7e28016</v>
      </c>
      <c r="S40" s="9" t="str">
        <f>_xlfn.CONCAT(Ticket3[[#This Row],[Account Name]]," ",Ticket3[[#This Row],[City]]," ",Ticket3[[#This Row],[Product Name]]," ",Ticket3[[#This Row],[Ticket Type]]," ")</f>
        <v xml:space="preserve">Manjunatha Nethralaya( Hesarghatta,BLR) Bengaluru EM-4000 PMS </v>
      </c>
    </row>
    <row r="41" spans="1:19" x14ac:dyDescent="0.25">
      <c r="A41" s="3">
        <v>50579</v>
      </c>
      <c r="B41" s="4" t="s">
        <v>2230</v>
      </c>
      <c r="C41" s="2">
        <v>46356</v>
      </c>
      <c r="D41" s="1" t="s">
        <v>2722</v>
      </c>
      <c r="E41" s="1" t="s">
        <v>2723</v>
      </c>
      <c r="F41" s="4" t="s">
        <v>2351</v>
      </c>
      <c r="G41" s="4" t="s">
        <v>71</v>
      </c>
      <c r="H41" s="4" t="s">
        <v>2234</v>
      </c>
      <c r="I41" s="4" t="s">
        <v>2242</v>
      </c>
      <c r="J41" t="s">
        <v>2724</v>
      </c>
      <c r="K41" s="1" t="s">
        <v>2244</v>
      </c>
      <c r="L41" s="1" t="s">
        <v>2238</v>
      </c>
      <c r="M41" s="1" t="s">
        <v>71</v>
      </c>
      <c r="N41" s="9"/>
      <c r="O41" s="9"/>
      <c r="P41" s="9"/>
      <c r="Q41" s="9"/>
      <c r="R41" s="10" t="str">
        <f>HYPERLINK(_xlfn.CONCAT("https://mhmpl.sangamcrm.com/tickets/",Ticket3[[#This Row],[Id]]))</f>
        <v>https://mhmpl.sangamcrm.com/tickets/50de88b2-de91-4117-8e6a-7fe557e5adf2</v>
      </c>
      <c r="S41" s="9" t="str">
        <f>_xlfn.CONCAT(Ticket3[[#This Row],[Account Name]]," ",Ticket3[[#This Row],[City]]," ",Ticket3[[#This Row],[Product Name]]," ",Ticket3[[#This Row],[Ticket Type]]," ")</f>
        <v xml:space="preserve">Jnanananda ophthalmic institute Bhimavaram SIRIUS+ PMS </v>
      </c>
    </row>
    <row r="42" spans="1:19" x14ac:dyDescent="0.25">
      <c r="A42" s="3">
        <v>52258</v>
      </c>
      <c r="B42" s="4" t="s">
        <v>2230</v>
      </c>
      <c r="C42" s="2">
        <v>46326</v>
      </c>
      <c r="D42" s="1" t="s">
        <v>2322</v>
      </c>
      <c r="E42" s="1" t="s">
        <v>2323</v>
      </c>
      <c r="F42" s="4" t="s">
        <v>2303</v>
      </c>
      <c r="G42" s="4" t="s">
        <v>931</v>
      </c>
      <c r="H42" s="4" t="s">
        <v>2234</v>
      </c>
      <c r="I42" s="4" t="s">
        <v>2237</v>
      </c>
      <c r="J42" t="s">
        <v>2324</v>
      </c>
      <c r="K42" s="1" t="s">
        <v>2237</v>
      </c>
      <c r="L42" s="1" t="s">
        <v>2283</v>
      </c>
      <c r="M42" s="1" t="s">
        <v>931</v>
      </c>
      <c r="N42" s="9">
        <v>46136</v>
      </c>
      <c r="O42" s="9">
        <v>45958</v>
      </c>
      <c r="P42" s="9">
        <v>45803</v>
      </c>
      <c r="Q42" s="9">
        <v>45584</v>
      </c>
      <c r="R42" s="10" t="str">
        <f>HYPERLINK(_xlfn.CONCAT("https://mhmpl.sangamcrm.com/tickets/",Ticket3[[#This Row],[Id]]))</f>
        <v>https://mhmpl.sangamcrm.com/tickets/53557df9-b56d-40f3-99c9-51463a56d542</v>
      </c>
      <c r="S42" s="9" t="str">
        <f>_xlfn.CONCAT(Ticket3[[#This Row],[Account Name]]," ",Ticket3[[#This Row],[City]]," ",Ticket3[[#This Row],[Product Name]]," ",Ticket3[[#This Row],[Ticket Type]]," ")</f>
        <v xml:space="preserve">TRINITY EYE HOSPITAL CALICUT EX500 PMS </v>
      </c>
    </row>
    <row r="43" spans="1:19" x14ac:dyDescent="0.25">
      <c r="A43" s="3">
        <v>44506</v>
      </c>
      <c r="B43" s="4" t="s">
        <v>2230</v>
      </c>
      <c r="C43" s="2">
        <v>46356</v>
      </c>
      <c r="D43" s="1" t="s">
        <v>2872</v>
      </c>
      <c r="E43" s="1" t="s">
        <v>2323</v>
      </c>
      <c r="F43" s="4" t="s">
        <v>2275</v>
      </c>
      <c r="G43" s="4" t="s">
        <v>1013</v>
      </c>
      <c r="H43" s="4" t="s">
        <v>2234</v>
      </c>
      <c r="I43" s="4" t="s">
        <v>2235</v>
      </c>
      <c r="J43" t="s">
        <v>2873</v>
      </c>
      <c r="K43" s="1" t="s">
        <v>2237</v>
      </c>
      <c r="L43" s="1" t="s">
        <v>2238</v>
      </c>
      <c r="M43" s="1" t="s">
        <v>1013</v>
      </c>
      <c r="N43" s="9">
        <v>46178</v>
      </c>
      <c r="O43" s="9">
        <v>46049</v>
      </c>
      <c r="P43" s="9">
        <v>45820</v>
      </c>
      <c r="Q43" s="9">
        <v>45713</v>
      </c>
      <c r="R43" s="10" t="str">
        <f>HYPERLINK(_xlfn.CONCAT("https://mhmpl.sangamcrm.com/tickets/",Ticket3[[#This Row],[Id]]))</f>
        <v>https://mhmpl.sangamcrm.com/tickets/1615e0d1-0f27-4be0-b251-50a338e1d4c9</v>
      </c>
      <c r="S43" s="9" t="str">
        <f>_xlfn.CONCAT(Ticket3[[#This Row],[Account Name]]," ",Ticket3[[#This Row],[City]]," ",Ticket3[[#This Row],[Product Name]]," ",Ticket3[[#This Row],[Ticket Type]]," ")</f>
        <v xml:space="preserve">DR.SREEKANTH EYE CARE &amp; RESEARCH CENTRE CALICUT EM-4000 PMS </v>
      </c>
    </row>
    <row r="44" spans="1:19" x14ac:dyDescent="0.25">
      <c r="A44" s="3">
        <v>55776</v>
      </c>
      <c r="B44" s="4" t="s">
        <v>2258</v>
      </c>
      <c r="C44" s="2">
        <v>46295</v>
      </c>
      <c r="D44" s="1" t="s">
        <v>2325</v>
      </c>
      <c r="E44" s="1" t="s">
        <v>2326</v>
      </c>
      <c r="F44" s="4" t="s">
        <v>2288</v>
      </c>
      <c r="G44" s="4" t="s">
        <v>1891</v>
      </c>
      <c r="H44" s="4" t="s">
        <v>2249</v>
      </c>
      <c r="I44" s="4" t="s">
        <v>2327</v>
      </c>
      <c r="J44" t="s">
        <v>2328</v>
      </c>
      <c r="K44" s="1" t="s">
        <v>2237</v>
      </c>
      <c r="L44" s="1" t="s">
        <v>2251</v>
      </c>
      <c r="M44" s="1" t="s">
        <v>1891</v>
      </c>
      <c r="N44" s="9">
        <v>46226</v>
      </c>
      <c r="O44" s="9">
        <v>46019</v>
      </c>
      <c r="P44" s="9">
        <v>45897</v>
      </c>
      <c r="Q44" s="9">
        <v>45673</v>
      </c>
      <c r="R44" s="10" t="str">
        <f>HYPERLINK(_xlfn.CONCAT("https://mhmpl.sangamcrm.com/tickets/",Ticket3[[#This Row],[Id]]))</f>
        <v>https://mhmpl.sangamcrm.com/tickets/2a030ddc-87ff-4bce-99b3-0437a30146ab</v>
      </c>
      <c r="S44" s="9" t="str">
        <f>_xlfn.CONCAT(Ticket3[[#This Row],[Account Name]]," ",Ticket3[[#This Row],[City]]," ",Ticket3[[#This Row],[Product Name]]," ",Ticket3[[#This Row],[Ticket Type]]," ")</f>
        <v xml:space="preserve">COMTRUST CHARITABLE TRUST EYE HOSPITAL calicut HS-2522BL Service </v>
      </c>
    </row>
    <row r="45" spans="1:19" x14ac:dyDescent="0.25">
      <c r="A45" s="3">
        <v>57004</v>
      </c>
      <c r="B45" s="4" t="s">
        <v>2364</v>
      </c>
      <c r="C45" s="2">
        <v>46323</v>
      </c>
      <c r="D45" s="1" t="s">
        <v>2701</v>
      </c>
      <c r="E45" s="1" t="s">
        <v>2702</v>
      </c>
      <c r="F45" s="4" t="s">
        <v>2284</v>
      </c>
      <c r="G45" s="4" t="s">
        <v>1162</v>
      </c>
      <c r="H45" s="4" t="s">
        <v>2249</v>
      </c>
      <c r="I45" s="4" t="s">
        <v>2235</v>
      </c>
      <c r="J45" t="s">
        <v>2703</v>
      </c>
      <c r="K45" s="1" t="s">
        <v>2237</v>
      </c>
      <c r="L45" s="1" t="s">
        <v>2251</v>
      </c>
      <c r="M45" s="1" t="s">
        <v>1162</v>
      </c>
      <c r="N45" s="9">
        <v>46259</v>
      </c>
      <c r="O45" s="9">
        <v>46028</v>
      </c>
      <c r="P45" s="9">
        <v>45863</v>
      </c>
      <c r="Q45" s="9">
        <v>45698</v>
      </c>
      <c r="R45" s="10" t="str">
        <f>HYPERLINK(_xlfn.CONCAT("https://mhmpl.sangamcrm.com/tickets/",Ticket3[[#This Row],[Id]]))</f>
        <v>https://mhmpl.sangamcrm.com/tickets/8116c2b0-a5a0-4ea0-a401-dfde72495d48</v>
      </c>
      <c r="S45" s="9" t="str">
        <f>_xlfn.CONCAT(Ticket3[[#This Row],[Account Name]]," ",Ticket3[[#This Row],[City]]," ",Ticket3[[#This Row],[Product Name]]," ",Ticket3[[#This Row],[Ticket Type]]," ")</f>
        <v xml:space="preserve">I VISION EYE CARE CENTRE CHALAKUDY OA-2000 Service </v>
      </c>
    </row>
    <row r="46" spans="1:19" x14ac:dyDescent="0.25">
      <c r="A46" s="3">
        <v>44283</v>
      </c>
      <c r="B46" s="4" t="s">
        <v>2230</v>
      </c>
      <c r="C46" s="2">
        <v>46356</v>
      </c>
      <c r="D46" s="1" t="s">
        <v>2794</v>
      </c>
      <c r="E46" s="1" t="s">
        <v>2795</v>
      </c>
      <c r="F46" s="4" t="s">
        <v>2233</v>
      </c>
      <c r="G46" s="4" t="s">
        <v>212</v>
      </c>
      <c r="H46" s="4" t="s">
        <v>2234</v>
      </c>
      <c r="I46" s="4" t="s">
        <v>2271</v>
      </c>
      <c r="J46" t="s">
        <v>2796</v>
      </c>
      <c r="K46" s="1" t="s">
        <v>2266</v>
      </c>
      <c r="L46" s="1" t="s">
        <v>2238</v>
      </c>
      <c r="M46" s="1" t="s">
        <v>212</v>
      </c>
      <c r="N46" s="9">
        <v>46322</v>
      </c>
      <c r="O46" s="9"/>
      <c r="P46" s="9"/>
      <c r="Q46" s="9"/>
      <c r="R46" s="10" t="str">
        <f>HYPERLINK(_xlfn.CONCAT("https://mhmpl.sangamcrm.com/tickets/",Ticket3[[#This Row],[Id]]))</f>
        <v>https://mhmpl.sangamcrm.com/tickets/b97413e8-ecf5-432b-a260-b48b5a24af03</v>
      </c>
      <c r="S46" s="9" t="str">
        <f>_xlfn.CONCAT(Ticket3[[#This Row],[Account Name]]," ",Ticket3[[#This Row],[City]]," ",Ticket3[[#This Row],[Product Name]]," ",Ticket3[[#This Row],[Ticket Type]]," ")</f>
        <v xml:space="preserve">IDrishti super speciality eye hospital channapatna Channapatna REVO 60 PMS </v>
      </c>
    </row>
    <row r="47" spans="1:19" x14ac:dyDescent="0.25">
      <c r="A47" s="3">
        <v>51187</v>
      </c>
      <c r="B47" s="4" t="s">
        <v>2230</v>
      </c>
      <c r="C47" s="2">
        <v>46356</v>
      </c>
      <c r="D47" s="1" t="s">
        <v>2831</v>
      </c>
      <c r="E47" s="1" t="s">
        <v>2832</v>
      </c>
      <c r="F47" s="4" t="s">
        <v>2286</v>
      </c>
      <c r="G47" s="4" t="s">
        <v>720</v>
      </c>
      <c r="H47" s="4" t="s">
        <v>2234</v>
      </c>
      <c r="I47" s="4" t="s">
        <v>2331</v>
      </c>
      <c r="J47" t="s">
        <v>2833</v>
      </c>
      <c r="K47" s="1" t="s">
        <v>2332</v>
      </c>
      <c r="L47" s="1" t="s">
        <v>2238</v>
      </c>
      <c r="M47" s="1" t="s">
        <v>720</v>
      </c>
      <c r="N47" s="9">
        <v>46112</v>
      </c>
      <c r="O47" s="9">
        <v>45964</v>
      </c>
      <c r="P47" s="9">
        <v>45680</v>
      </c>
      <c r="Q47" s="9">
        <v>45506</v>
      </c>
      <c r="R47" s="10" t="str">
        <f>HYPERLINK(_xlfn.CONCAT("https://mhmpl.sangamcrm.com/tickets/",Ticket3[[#This Row],[Id]]))</f>
        <v>https://mhmpl.sangamcrm.com/tickets/7b27de1c-7664-4b46-aaef-90b3043d57aa</v>
      </c>
      <c r="S47" s="9" t="str">
        <f>_xlfn.CONCAT(Ticket3[[#This Row],[Account Name]]," ",Ticket3[[#This Row],[City]]," ",Ticket3[[#This Row],[Product Name]]," ",Ticket3[[#This Row],[Ticket Type]]," ")</f>
        <v xml:space="preserve">Balaji Eye Hospital(Chengalpet) Chengalpattu REVO FC PMS </v>
      </c>
    </row>
    <row r="48" spans="1:19" x14ac:dyDescent="0.25">
      <c r="A48" s="3">
        <v>51185</v>
      </c>
      <c r="B48" s="4" t="s">
        <v>2230</v>
      </c>
      <c r="C48" s="2">
        <v>46356</v>
      </c>
      <c r="D48" s="1" t="s">
        <v>2831</v>
      </c>
      <c r="E48" s="1" t="s">
        <v>2832</v>
      </c>
      <c r="F48" s="4" t="s">
        <v>2284</v>
      </c>
      <c r="G48" s="4" t="s">
        <v>892</v>
      </c>
      <c r="H48" s="4" t="s">
        <v>2234</v>
      </c>
      <c r="I48" s="4" t="s">
        <v>2331</v>
      </c>
      <c r="J48" t="s">
        <v>2858</v>
      </c>
      <c r="K48" s="1" t="s">
        <v>2332</v>
      </c>
      <c r="L48" s="1" t="s">
        <v>2238</v>
      </c>
      <c r="M48" s="1" t="s">
        <v>892</v>
      </c>
      <c r="N48" s="9">
        <v>45964</v>
      </c>
      <c r="O48" s="9">
        <v>45680</v>
      </c>
      <c r="P48" s="9">
        <v>45506</v>
      </c>
      <c r="Q48" s="9">
        <v>45378</v>
      </c>
      <c r="R48" s="10" t="str">
        <f>HYPERLINK(_xlfn.CONCAT("https://mhmpl.sangamcrm.com/tickets/",Ticket3[[#This Row],[Id]]))</f>
        <v>https://mhmpl.sangamcrm.com/tickets/fed57b87-2707-420d-bb2a-dafe05012527</v>
      </c>
      <c r="S48" s="9" t="str">
        <f>_xlfn.CONCAT(Ticket3[[#This Row],[Account Name]]," ",Ticket3[[#This Row],[City]]," ",Ticket3[[#This Row],[Product Name]]," ",Ticket3[[#This Row],[Ticket Type]]," ")</f>
        <v xml:space="preserve">Balaji Eye Hospital(Chengalpet) Chengalpattu OA-2000 PMS </v>
      </c>
    </row>
    <row r="49" spans="1:19" x14ac:dyDescent="0.25">
      <c r="A49" s="3">
        <v>43705</v>
      </c>
      <c r="B49" s="4" t="s">
        <v>2230</v>
      </c>
      <c r="C49" s="2">
        <v>46326</v>
      </c>
      <c r="D49" s="1" t="s">
        <v>2343</v>
      </c>
      <c r="E49" s="1" t="s">
        <v>2339</v>
      </c>
      <c r="F49" s="4" t="s">
        <v>2288</v>
      </c>
      <c r="G49" s="4" t="s">
        <v>235</v>
      </c>
      <c r="H49" s="4" t="s">
        <v>2234</v>
      </c>
      <c r="I49" s="4" t="s">
        <v>2331</v>
      </c>
      <c r="J49" t="s">
        <v>2345</v>
      </c>
      <c r="K49" s="1" t="s">
        <v>2332</v>
      </c>
      <c r="L49" s="1" t="s">
        <v>2283</v>
      </c>
      <c r="M49" s="1" t="s">
        <v>235</v>
      </c>
      <c r="N49" s="9">
        <v>46176</v>
      </c>
      <c r="O49" s="9"/>
      <c r="P49" s="9"/>
      <c r="Q49" s="9"/>
      <c r="R49" s="10" t="str">
        <f>HYPERLINK(_xlfn.CONCAT("https://mhmpl.sangamcrm.com/tickets/",Ticket3[[#This Row],[Id]]))</f>
        <v>https://mhmpl.sangamcrm.com/tickets/ea728054-b3f8-467c-9c16-3e537f9eedb6</v>
      </c>
      <c r="S49" s="9" t="str">
        <f>_xlfn.CONCAT(Ticket3[[#This Row],[Account Name]]," ",Ticket3[[#This Row],[City]]," ",Ticket3[[#This Row],[Product Name]]," ",Ticket3[[#This Row],[Ticket Type]]," ")</f>
        <v xml:space="preserve">Medical Research Foundation (MESU Bus Guindy) Chennai HS-2522BL PMS </v>
      </c>
    </row>
    <row r="50" spans="1:19" x14ac:dyDescent="0.25">
      <c r="A50" s="3">
        <v>57091</v>
      </c>
      <c r="B50" s="4" t="s">
        <v>2312</v>
      </c>
      <c r="C50" s="2">
        <v>46326</v>
      </c>
      <c r="D50" s="1" t="s">
        <v>2354</v>
      </c>
      <c r="E50" s="1" t="s">
        <v>2336</v>
      </c>
      <c r="F50" s="4" t="s">
        <v>2308</v>
      </c>
      <c r="G50" s="4" t="s">
        <v>158</v>
      </c>
      <c r="H50" s="4" t="s">
        <v>2249</v>
      </c>
      <c r="I50" s="4" t="s">
        <v>2348</v>
      </c>
      <c r="J50" t="s">
        <v>2743</v>
      </c>
      <c r="K50" s="1" t="s">
        <v>2244</v>
      </c>
      <c r="L50" s="1" t="s">
        <v>2283</v>
      </c>
      <c r="M50" s="1" t="s">
        <v>158</v>
      </c>
      <c r="N50" s="9">
        <v>46237</v>
      </c>
      <c r="O50" s="9"/>
      <c r="P50" s="9"/>
      <c r="Q50" s="9"/>
      <c r="R50" s="10" t="str">
        <f>HYPERLINK(_xlfn.CONCAT("https://mhmpl.sangamcrm.com/tickets/",Ticket3[[#This Row],[Id]]))</f>
        <v>https://mhmpl.sangamcrm.com/tickets/e2e98779-a0e5-45ab-8f71-427220881856</v>
      </c>
      <c r="S50" s="9" t="str">
        <f>_xlfn.CONCAT(Ticket3[[#This Row],[Account Name]]," ",Ticket3[[#This Row],[City]]," ",Ticket3[[#This Row],[Product Name]]," ",Ticket3[[#This Row],[Ticket Type]]," ")</f>
        <v xml:space="preserve">ARAVIND EYE HOSPITAL chennai CHENNAI PTS 2000 Service </v>
      </c>
    </row>
    <row r="51" spans="1:19" x14ac:dyDescent="0.25">
      <c r="A51" s="3">
        <v>51049</v>
      </c>
      <c r="B51" s="4" t="s">
        <v>2230</v>
      </c>
      <c r="C51" s="2">
        <v>46356</v>
      </c>
      <c r="D51" s="1" t="s">
        <v>2752</v>
      </c>
      <c r="E51" s="1" t="s">
        <v>2339</v>
      </c>
      <c r="F51" s="4" t="s">
        <v>2753</v>
      </c>
      <c r="G51" s="4" t="s">
        <v>62</v>
      </c>
      <c r="H51" s="4" t="s">
        <v>2234</v>
      </c>
      <c r="I51" s="4" t="s">
        <v>2337</v>
      </c>
      <c r="J51" t="s">
        <v>2754</v>
      </c>
      <c r="K51" s="1" t="s">
        <v>2332</v>
      </c>
      <c r="L51" s="1" t="s">
        <v>2238</v>
      </c>
      <c r="M51" s="1" t="s">
        <v>62</v>
      </c>
      <c r="N51" s="9"/>
      <c r="O51" s="9"/>
      <c r="P51" s="9"/>
      <c r="Q51" s="9"/>
      <c r="R51" s="10" t="str">
        <f>HYPERLINK(_xlfn.CONCAT("https://mhmpl.sangamcrm.com/tickets/",Ticket3[[#This Row],[Id]]))</f>
        <v>https://mhmpl.sangamcrm.com/tickets/df2fccd7-86b7-48f7-9d04-3e0aa36e1d46</v>
      </c>
      <c r="S51" s="9" t="str">
        <f>_xlfn.CONCAT(Ticket3[[#This Row],[Account Name]]," ",Ticket3[[#This Row],[City]]," ",Ticket3[[#This Row],[Product Name]]," ",Ticket3[[#This Row],[Ticket Type]]," ")</f>
        <v xml:space="preserve">MN ENTERPRISES Chennai Pachmate 2 PMS </v>
      </c>
    </row>
    <row r="52" spans="1:19" x14ac:dyDescent="0.25">
      <c r="A52" s="3">
        <v>51047</v>
      </c>
      <c r="B52" s="4" t="s">
        <v>2230</v>
      </c>
      <c r="C52" s="2">
        <v>46356</v>
      </c>
      <c r="D52" s="1" t="s">
        <v>2752</v>
      </c>
      <c r="E52" s="1" t="s">
        <v>2339</v>
      </c>
      <c r="F52" s="4" t="s">
        <v>2753</v>
      </c>
      <c r="G52" s="4" t="s">
        <v>62</v>
      </c>
      <c r="H52" s="4" t="s">
        <v>2234</v>
      </c>
      <c r="I52" s="4" t="s">
        <v>2337</v>
      </c>
      <c r="J52" t="s">
        <v>2755</v>
      </c>
      <c r="K52" s="1" t="s">
        <v>2332</v>
      </c>
      <c r="L52" s="1" t="s">
        <v>2238</v>
      </c>
      <c r="M52" s="1" t="s">
        <v>62</v>
      </c>
      <c r="N52" s="9"/>
      <c r="O52" s="9"/>
      <c r="P52" s="9"/>
      <c r="Q52" s="9"/>
      <c r="R52" s="10" t="str">
        <f>HYPERLINK(_xlfn.CONCAT("https://mhmpl.sangamcrm.com/tickets/",Ticket3[[#This Row],[Id]]))</f>
        <v>https://mhmpl.sangamcrm.com/tickets/56b13467-07c4-486e-bc41-d8401b7e7b48</v>
      </c>
      <c r="S52" s="9" t="str">
        <f>_xlfn.CONCAT(Ticket3[[#This Row],[Account Name]]," ",Ticket3[[#This Row],[City]]," ",Ticket3[[#This Row],[Product Name]]," ",Ticket3[[#This Row],[Ticket Type]]," ")</f>
        <v xml:space="preserve">MN ENTERPRISES Chennai Pachmate 2 PMS </v>
      </c>
    </row>
    <row r="53" spans="1:19" x14ac:dyDescent="0.25">
      <c r="A53" s="3">
        <v>49880</v>
      </c>
      <c r="B53" s="4" t="s">
        <v>2230</v>
      </c>
      <c r="C53" s="2">
        <v>46326</v>
      </c>
      <c r="D53" s="1" t="s">
        <v>2338</v>
      </c>
      <c r="E53" s="1" t="s">
        <v>2339</v>
      </c>
      <c r="F53" s="4" t="s">
        <v>2241</v>
      </c>
      <c r="G53" s="4" t="s">
        <v>82</v>
      </c>
      <c r="H53" s="4" t="s">
        <v>2234</v>
      </c>
      <c r="I53" s="4" t="s">
        <v>2332</v>
      </c>
      <c r="J53" t="s">
        <v>2340</v>
      </c>
      <c r="K53" s="1" t="s">
        <v>2332</v>
      </c>
      <c r="L53" s="1" t="s">
        <v>2283</v>
      </c>
      <c r="M53" s="1" t="s">
        <v>82</v>
      </c>
      <c r="N53" s="9"/>
      <c r="O53" s="9"/>
      <c r="P53" s="9"/>
      <c r="Q53" s="9"/>
      <c r="R53" s="10" t="str">
        <f>HYPERLINK(_xlfn.CONCAT("https://mhmpl.sangamcrm.com/tickets/",Ticket3[[#This Row],[Id]]))</f>
        <v>https://mhmpl.sangamcrm.com/tickets/0452523b-d0f0-41f8-b3fd-d11a836cbcac</v>
      </c>
      <c r="S53" s="9" t="str">
        <f>_xlfn.CONCAT(Ticket3[[#This Row],[Account Name]]," ",Ticket3[[#This Row],[City]]," ",Ticket3[[#This Row],[Product Name]]," ",Ticket3[[#This Row],[Ticket Type]]," ")</f>
        <v xml:space="preserve">APPASAMY ASSOCIATES_Factory_Ambattur Chennai TMS-4N PMS </v>
      </c>
    </row>
    <row r="54" spans="1:19" x14ac:dyDescent="0.25">
      <c r="A54" s="3">
        <v>49727</v>
      </c>
      <c r="B54" s="4" t="s">
        <v>2230</v>
      </c>
      <c r="C54" s="2">
        <v>46326</v>
      </c>
      <c r="D54" s="1" t="s">
        <v>2341</v>
      </c>
      <c r="E54" s="1" t="s">
        <v>2339</v>
      </c>
      <c r="F54" s="4" t="s">
        <v>2286</v>
      </c>
      <c r="G54" s="4" t="s">
        <v>225</v>
      </c>
      <c r="H54" s="4" t="s">
        <v>2234</v>
      </c>
      <c r="I54" s="4" t="s">
        <v>2281</v>
      </c>
      <c r="J54" t="s">
        <v>2342</v>
      </c>
      <c r="K54" s="1" t="s">
        <v>2266</v>
      </c>
      <c r="L54" s="1" t="s">
        <v>2283</v>
      </c>
      <c r="M54" s="1" t="s">
        <v>225</v>
      </c>
      <c r="N54" s="9"/>
      <c r="O54" s="9"/>
      <c r="P54" s="9"/>
      <c r="Q54" s="9"/>
      <c r="R54" s="10" t="str">
        <f>HYPERLINK(_xlfn.CONCAT("https://mhmpl.sangamcrm.com/tickets/",Ticket3[[#This Row],[Id]]))</f>
        <v>https://mhmpl.sangamcrm.com/tickets/8e805238-7bf4-4f6e-905c-a13611d71d62</v>
      </c>
      <c r="S54" s="9" t="str">
        <f>_xlfn.CONCAT(Ticket3[[#This Row],[Account Name]]," ",Ticket3[[#This Row],[City]]," ",Ticket3[[#This Row],[Product Name]]," ",Ticket3[[#This Row],[Ticket Type]]," ")</f>
        <v xml:space="preserve">TWO M LASER SERVICE, CHENNAI Chennai REVO FC PMS </v>
      </c>
    </row>
    <row r="55" spans="1:19" x14ac:dyDescent="0.25">
      <c r="A55" s="3">
        <v>43709</v>
      </c>
      <c r="B55" s="4" t="s">
        <v>2230</v>
      </c>
      <c r="C55" s="2">
        <v>46326</v>
      </c>
      <c r="D55" s="1" t="s">
        <v>2343</v>
      </c>
      <c r="E55" s="1" t="s">
        <v>2339</v>
      </c>
      <c r="F55" s="4" t="s">
        <v>2288</v>
      </c>
      <c r="G55" s="4" t="s">
        <v>233</v>
      </c>
      <c r="H55" s="4" t="s">
        <v>2234</v>
      </c>
      <c r="I55" s="4" t="s">
        <v>2331</v>
      </c>
      <c r="J55" t="s">
        <v>2344</v>
      </c>
      <c r="K55" s="1" t="s">
        <v>2332</v>
      </c>
      <c r="L55" s="1" t="s">
        <v>2283</v>
      </c>
      <c r="M55" s="1" t="s">
        <v>233</v>
      </c>
      <c r="N55" s="9">
        <v>46176</v>
      </c>
      <c r="O55" s="9"/>
      <c r="P55" s="9"/>
      <c r="Q55" s="9"/>
      <c r="R55" s="10" t="str">
        <f>HYPERLINK(_xlfn.CONCAT("https://mhmpl.sangamcrm.com/tickets/",Ticket3[[#This Row],[Id]]))</f>
        <v>https://mhmpl.sangamcrm.com/tickets/e7b285aa-e853-488c-b5a9-ae10e5a9fcae</v>
      </c>
      <c r="S55" s="9" t="str">
        <f>_xlfn.CONCAT(Ticket3[[#This Row],[Account Name]]," ",Ticket3[[#This Row],[City]]," ",Ticket3[[#This Row],[Product Name]]," ",Ticket3[[#This Row],[Ticket Type]]," ")</f>
        <v xml:space="preserve">Medical Research Foundation (MESU Bus Guindy) Chennai HS-2522BL PMS </v>
      </c>
    </row>
    <row r="56" spans="1:19" x14ac:dyDescent="0.25">
      <c r="A56" s="3">
        <v>49733</v>
      </c>
      <c r="B56" s="4" t="s">
        <v>2230</v>
      </c>
      <c r="C56" s="2">
        <v>46356</v>
      </c>
      <c r="D56" s="1" t="s">
        <v>2354</v>
      </c>
      <c r="E56" s="1" t="s">
        <v>2336</v>
      </c>
      <c r="F56" s="4" t="s">
        <v>2406</v>
      </c>
      <c r="G56" s="4" t="s">
        <v>214</v>
      </c>
      <c r="H56" s="4" t="s">
        <v>2234</v>
      </c>
      <c r="I56" s="4" t="s">
        <v>2332</v>
      </c>
      <c r="J56" t="s">
        <v>2774</v>
      </c>
      <c r="K56" s="1" t="s">
        <v>2332</v>
      </c>
      <c r="L56" s="1" t="s">
        <v>2238</v>
      </c>
      <c r="M56" s="1" t="s">
        <v>214</v>
      </c>
      <c r="N56" s="9">
        <v>46178</v>
      </c>
      <c r="O56" s="9"/>
      <c r="P56" s="9"/>
      <c r="Q56" s="9"/>
      <c r="R56" s="10" t="str">
        <f>HYPERLINK(_xlfn.CONCAT("https://mhmpl.sangamcrm.com/tickets/",Ticket3[[#This Row],[Id]]))</f>
        <v>https://mhmpl.sangamcrm.com/tickets/ca7bc3d5-9d99-450b-b728-184afcf018a1</v>
      </c>
      <c r="S56" s="9" t="str">
        <f>_xlfn.CONCAT(Ticket3[[#This Row],[Account Name]]," ",Ticket3[[#This Row],[City]]," ",Ticket3[[#This Row],[Product Name]]," ",Ticket3[[#This Row],[Ticket Type]]," ")</f>
        <v xml:space="preserve">ARAVIND EYE HOSPITAL chennai CHENNAI CASIA2 PMS </v>
      </c>
    </row>
    <row r="57" spans="1:19" x14ac:dyDescent="0.25">
      <c r="A57" s="3">
        <v>42718</v>
      </c>
      <c r="B57" s="4" t="s">
        <v>2230</v>
      </c>
      <c r="C57" s="2">
        <v>46326</v>
      </c>
      <c r="D57" s="1" t="s">
        <v>2346</v>
      </c>
      <c r="E57" s="1" t="s">
        <v>2336</v>
      </c>
      <c r="F57" s="4" t="s">
        <v>2286</v>
      </c>
      <c r="G57" s="4" t="s">
        <v>551</v>
      </c>
      <c r="H57" s="4" t="s">
        <v>2234</v>
      </c>
      <c r="I57" s="4" t="s">
        <v>2337</v>
      </c>
      <c r="J57" t="s">
        <v>2347</v>
      </c>
      <c r="K57" s="1" t="s">
        <v>2332</v>
      </c>
      <c r="L57" s="1" t="s">
        <v>2283</v>
      </c>
      <c r="M57" s="1" t="s">
        <v>551</v>
      </c>
      <c r="N57" s="9">
        <v>46147</v>
      </c>
      <c r="O57" s="9">
        <v>45936</v>
      </c>
      <c r="P57" s="9">
        <v>45775</v>
      </c>
      <c r="Q57" s="9"/>
      <c r="R57" s="10" t="str">
        <f>HYPERLINK(_xlfn.CONCAT("https://mhmpl.sangamcrm.com/tickets/",Ticket3[[#This Row],[Id]]))</f>
        <v>https://mhmpl.sangamcrm.com/tickets/f7450dcd-6c65-42bb-9ec4-94801e50517e</v>
      </c>
      <c r="S57" s="9" t="str">
        <f>_xlfn.CONCAT(Ticket3[[#This Row],[Account Name]]," ",Ticket3[[#This Row],[City]]," ",Ticket3[[#This Row],[Product Name]]," ",Ticket3[[#This Row],[Ticket Type]]," ")</f>
        <v xml:space="preserve">AMRIT HOSPITAL Sowcarpet CHENNAI REVO FC PMS </v>
      </c>
    </row>
    <row r="58" spans="1:19" x14ac:dyDescent="0.25">
      <c r="A58" s="3">
        <v>56653</v>
      </c>
      <c r="B58" s="4" t="s">
        <v>2258</v>
      </c>
      <c r="C58" s="2">
        <v>46317</v>
      </c>
      <c r="D58" s="1" t="s">
        <v>2665</v>
      </c>
      <c r="E58" s="1" t="s">
        <v>2336</v>
      </c>
      <c r="F58" s="4" t="s">
        <v>2289</v>
      </c>
      <c r="G58" s="4" t="s">
        <v>605</v>
      </c>
      <c r="H58" s="4" t="s">
        <v>2249</v>
      </c>
      <c r="I58" s="4" t="s">
        <v>2348</v>
      </c>
      <c r="J58" t="s">
        <v>2666</v>
      </c>
      <c r="K58" s="1" t="s">
        <v>2244</v>
      </c>
      <c r="L58" s="1" t="s">
        <v>2251</v>
      </c>
      <c r="M58" s="1" t="s">
        <v>605</v>
      </c>
      <c r="N58" s="9">
        <v>46196</v>
      </c>
      <c r="O58" s="9">
        <v>45906</v>
      </c>
      <c r="P58" s="9">
        <v>45703</v>
      </c>
      <c r="Q58" s="9"/>
      <c r="R58" s="10" t="str">
        <f>HYPERLINK(_xlfn.CONCAT("https://mhmpl.sangamcrm.com/tickets/",Ticket3[[#This Row],[Id]]))</f>
        <v>https://mhmpl.sangamcrm.com/tickets/8c51a2fe-6231-4c84-bde3-28663994785c</v>
      </c>
      <c r="S58" s="9" t="str">
        <f>_xlfn.CONCAT(Ticket3[[#This Row],[Account Name]]," ",Ticket3[[#This Row],[City]]," ",Ticket3[[#This Row],[Product Name]]," ",Ticket3[[#This Row],[Ticket Type]]," ")</f>
        <v xml:space="preserve">RAJAN EYE CARE HOSPITAL CHENNAI HS-3041BL Service </v>
      </c>
    </row>
    <row r="59" spans="1:19" x14ac:dyDescent="0.25">
      <c r="A59" s="3">
        <v>46208</v>
      </c>
      <c r="B59" s="4" t="s">
        <v>2230</v>
      </c>
      <c r="C59" s="2">
        <v>46356</v>
      </c>
      <c r="D59" s="1" t="s">
        <v>2838</v>
      </c>
      <c r="E59" s="1" t="s">
        <v>2336</v>
      </c>
      <c r="F59" s="4" t="s">
        <v>2275</v>
      </c>
      <c r="G59" s="4" t="s">
        <v>761</v>
      </c>
      <c r="H59" s="4" t="s">
        <v>2234</v>
      </c>
      <c r="I59" s="4" t="s">
        <v>2337</v>
      </c>
      <c r="J59" t="s">
        <v>2839</v>
      </c>
      <c r="K59" s="1" t="s">
        <v>2332</v>
      </c>
      <c r="L59" s="1" t="s">
        <v>2238</v>
      </c>
      <c r="M59" s="1" t="s">
        <v>761</v>
      </c>
      <c r="N59" s="9">
        <v>46218</v>
      </c>
      <c r="O59" s="9">
        <v>45919</v>
      </c>
      <c r="P59" s="9">
        <v>45748</v>
      </c>
      <c r="Q59" s="9">
        <v>45650</v>
      </c>
      <c r="R59" s="10" t="str">
        <f>HYPERLINK(_xlfn.CONCAT("https://mhmpl.sangamcrm.com/tickets/",Ticket3[[#This Row],[Id]]))</f>
        <v>https://mhmpl.sangamcrm.com/tickets/0cd5bdcf-cc12-4a40-a383-aed264849e14</v>
      </c>
      <c r="S59" s="9" t="str">
        <f>_xlfn.CONCAT(Ticket3[[#This Row],[Account Name]]," ",Ticket3[[#This Row],[City]]," ",Ticket3[[#This Row],[Product Name]]," ",Ticket3[[#This Row],[Ticket Type]]," ")</f>
        <v xml:space="preserve">AMRIT MEDICARE PVT LTD CHENNAI EM-4000 PMS </v>
      </c>
    </row>
    <row r="60" spans="1:19" x14ac:dyDescent="0.25">
      <c r="A60" s="3">
        <v>42004</v>
      </c>
      <c r="B60" s="4" t="s">
        <v>2230</v>
      </c>
      <c r="C60" s="2">
        <v>46326</v>
      </c>
      <c r="D60" s="1" t="s">
        <v>2349</v>
      </c>
      <c r="E60" s="1" t="s">
        <v>2336</v>
      </c>
      <c r="F60" s="4" t="s">
        <v>2288</v>
      </c>
      <c r="G60" s="4" t="s">
        <v>882</v>
      </c>
      <c r="H60" s="4" t="s">
        <v>2234</v>
      </c>
      <c r="I60" s="4" t="s">
        <v>2332</v>
      </c>
      <c r="J60" t="s">
        <v>2350</v>
      </c>
      <c r="K60" s="1" t="s">
        <v>2332</v>
      </c>
      <c r="L60" s="1" t="s">
        <v>2283</v>
      </c>
      <c r="M60" s="1" t="s">
        <v>882</v>
      </c>
      <c r="N60" s="9">
        <v>46118</v>
      </c>
      <c r="O60" s="9">
        <v>45856</v>
      </c>
      <c r="P60" s="9">
        <v>45688</v>
      </c>
      <c r="Q60" s="9">
        <v>45359</v>
      </c>
      <c r="R60" s="10" t="str">
        <f>HYPERLINK(_xlfn.CONCAT("https://mhmpl.sangamcrm.com/tickets/",Ticket3[[#This Row],[Id]]))</f>
        <v>https://mhmpl.sangamcrm.com/tickets/6815f451-831a-4a68-b840-873e9847b7a0</v>
      </c>
      <c r="S60" s="9" t="str">
        <f>_xlfn.CONCAT(Ticket3[[#This Row],[Account Name]]," ",Ticket3[[#This Row],[City]]," ",Ticket3[[#This Row],[Product Name]]," ",Ticket3[[#This Row],[Ticket Type]]," ")</f>
        <v xml:space="preserve">CENTER FOR EYE AND HEALTH CARE CHENNAI HS-2522BL PMS </v>
      </c>
    </row>
    <row r="61" spans="1:19" x14ac:dyDescent="0.25">
      <c r="A61" s="3">
        <v>44492</v>
      </c>
      <c r="B61" s="4" t="s">
        <v>2230</v>
      </c>
      <c r="C61" s="2">
        <v>46356</v>
      </c>
      <c r="D61" s="1" t="s">
        <v>2886</v>
      </c>
      <c r="E61" s="1" t="s">
        <v>2339</v>
      </c>
      <c r="F61" s="4" t="s">
        <v>2284</v>
      </c>
      <c r="G61" s="4" t="s">
        <v>1121</v>
      </c>
      <c r="H61" s="4" t="s">
        <v>2234</v>
      </c>
      <c r="I61" s="4" t="s">
        <v>2332</v>
      </c>
      <c r="J61" t="s">
        <v>2887</v>
      </c>
      <c r="K61" s="1" t="s">
        <v>2332</v>
      </c>
      <c r="L61" s="1" t="s">
        <v>2238</v>
      </c>
      <c r="M61" s="1" t="s">
        <v>1121</v>
      </c>
      <c r="N61" s="9">
        <v>46196</v>
      </c>
      <c r="O61" s="9">
        <v>46009</v>
      </c>
      <c r="P61" s="9">
        <v>45804</v>
      </c>
      <c r="Q61" s="9">
        <v>45625</v>
      </c>
      <c r="R61" s="10" t="str">
        <f>HYPERLINK(_xlfn.CONCAT("https://mhmpl.sangamcrm.com/tickets/",Ticket3[[#This Row],[Id]]))</f>
        <v>https://mhmpl.sangamcrm.com/tickets/fd4ca37d-1ce5-47b1-a588-c4aa0cc5726e</v>
      </c>
      <c r="S61" s="9" t="str">
        <f>_xlfn.CONCAT(Ticket3[[#This Row],[Account Name]]," ",Ticket3[[#This Row],[City]]," ",Ticket3[[#This Row],[Product Name]]," ",Ticket3[[#This Row],[Ticket Type]]," ")</f>
        <v xml:space="preserve">Dr Ravishankar’s eye clinic Chennai OA-2000 PMS </v>
      </c>
    </row>
    <row r="62" spans="1:19" x14ac:dyDescent="0.25">
      <c r="A62" s="3">
        <v>43653</v>
      </c>
      <c r="B62" s="4" t="s">
        <v>2230</v>
      </c>
      <c r="C62" s="2">
        <v>46326</v>
      </c>
      <c r="D62" s="1" t="s">
        <v>2352</v>
      </c>
      <c r="E62" s="1" t="s">
        <v>2336</v>
      </c>
      <c r="F62" s="4" t="s">
        <v>2241</v>
      </c>
      <c r="G62" s="4" t="s">
        <v>1206</v>
      </c>
      <c r="H62" s="4" t="s">
        <v>2234</v>
      </c>
      <c r="I62" s="4" t="s">
        <v>2332</v>
      </c>
      <c r="J62" t="s">
        <v>2353</v>
      </c>
      <c r="K62" s="1" t="s">
        <v>2332</v>
      </c>
      <c r="L62" s="1" t="s">
        <v>2283</v>
      </c>
      <c r="M62" s="1" t="s">
        <v>1206</v>
      </c>
      <c r="N62" s="9">
        <v>46147</v>
      </c>
      <c r="O62" s="9">
        <v>45915</v>
      </c>
      <c r="P62" s="9">
        <v>45799</v>
      </c>
      <c r="Q62" s="9">
        <v>45611</v>
      </c>
      <c r="R62" s="10" t="str">
        <f>HYPERLINK(_xlfn.CONCAT("https://mhmpl.sangamcrm.com/tickets/",Ticket3[[#This Row],[Id]]))</f>
        <v>https://mhmpl.sangamcrm.com/tickets/4da0d621-a54b-4034-a4e3-6bd341e479cd</v>
      </c>
      <c r="S62" s="9" t="str">
        <f>_xlfn.CONCAT(Ticket3[[#This Row],[Account Name]]," ",Ticket3[[#This Row],[City]]," ",Ticket3[[#This Row],[Product Name]]," ",Ticket3[[#This Row],[Ticket Type]]," ")</f>
        <v xml:space="preserve">VIJAYA EYE FOUNDATION CHENNAI TMS-4N PMS </v>
      </c>
    </row>
    <row r="63" spans="1:19" x14ac:dyDescent="0.25">
      <c r="A63" s="3">
        <v>53985</v>
      </c>
      <c r="B63" s="4" t="s">
        <v>2245</v>
      </c>
      <c r="C63" s="2">
        <v>46258</v>
      </c>
      <c r="D63" s="1" t="s">
        <v>2354</v>
      </c>
      <c r="E63" s="1" t="s">
        <v>2336</v>
      </c>
      <c r="F63" s="4" t="s">
        <v>2263</v>
      </c>
      <c r="G63" s="4" t="s">
        <v>1392</v>
      </c>
      <c r="H63" s="4" t="s">
        <v>2249</v>
      </c>
      <c r="I63" s="4" t="s">
        <v>2337</v>
      </c>
      <c r="J63" t="s">
        <v>2355</v>
      </c>
      <c r="K63" s="1" t="s">
        <v>2332</v>
      </c>
      <c r="L63" s="1" t="s">
        <v>2251</v>
      </c>
      <c r="M63" s="1" t="s">
        <v>1392</v>
      </c>
      <c r="N63" s="9">
        <v>46324</v>
      </c>
      <c r="O63" s="9">
        <v>46134</v>
      </c>
      <c r="P63" s="9">
        <v>45931</v>
      </c>
      <c r="Q63" s="9">
        <v>45754</v>
      </c>
      <c r="R63" s="10" t="str">
        <f>HYPERLINK(_xlfn.CONCAT("https://mhmpl.sangamcrm.com/tickets/",Ticket3[[#This Row],[Id]]))</f>
        <v>https://mhmpl.sangamcrm.com/tickets/1dc2a09a-c89f-4a4c-b488-ac5f2fafc6c4</v>
      </c>
      <c r="S63" s="9" t="str">
        <f>_xlfn.CONCAT(Ticket3[[#This Row],[Account Name]]," ",Ticket3[[#This Row],[City]]," ",Ticket3[[#This Row],[Product Name]]," ",Ticket3[[#This Row],[Ticket Type]]," ")</f>
        <v xml:space="preserve">ARAVIND EYE HOSPITAL chennai CHENNAI MS-39 Service </v>
      </c>
    </row>
    <row r="64" spans="1:19" x14ac:dyDescent="0.25">
      <c r="A64" s="3">
        <v>49933</v>
      </c>
      <c r="B64" s="4" t="s">
        <v>2230</v>
      </c>
      <c r="C64" s="2">
        <v>46326</v>
      </c>
      <c r="D64" s="1" t="s">
        <v>2356</v>
      </c>
      <c r="E64" s="1" t="s">
        <v>2336</v>
      </c>
      <c r="F64" s="4" t="s">
        <v>2288</v>
      </c>
      <c r="G64" s="4" t="s">
        <v>1501</v>
      </c>
      <c r="H64" s="4" t="s">
        <v>2234</v>
      </c>
      <c r="I64" s="4" t="s">
        <v>2331</v>
      </c>
      <c r="J64" t="s">
        <v>2357</v>
      </c>
      <c r="K64" s="1" t="s">
        <v>2332</v>
      </c>
      <c r="L64" s="1" t="s">
        <v>2283</v>
      </c>
      <c r="M64" s="1" t="s">
        <v>1501</v>
      </c>
      <c r="N64" s="9">
        <v>46146</v>
      </c>
      <c r="O64" s="9">
        <v>45964</v>
      </c>
      <c r="P64" s="9">
        <v>45735</v>
      </c>
      <c r="Q64" s="9">
        <v>45588</v>
      </c>
      <c r="R64" s="10" t="str">
        <f>HYPERLINK(_xlfn.CONCAT("https://mhmpl.sangamcrm.com/tickets/",Ticket3[[#This Row],[Id]]))</f>
        <v>https://mhmpl.sangamcrm.com/tickets/fd73f241-c2cb-4c0e-9875-df96e5227bd0</v>
      </c>
      <c r="S64" s="9" t="str">
        <f>_xlfn.CONCAT(Ticket3[[#This Row],[Account Name]]," ",Ticket3[[#This Row],[City]]," ",Ticket3[[#This Row],[Product Name]]," ",Ticket3[[#This Row],[Ticket Type]]," ")</f>
        <v xml:space="preserve">INDIRA EYE HOSPITAL CHENNAI HS-2522BL PMS </v>
      </c>
    </row>
    <row r="65" spans="1:19" x14ac:dyDescent="0.25">
      <c r="A65" s="3">
        <v>47818</v>
      </c>
      <c r="B65" s="4" t="s">
        <v>2230</v>
      </c>
      <c r="C65" s="2">
        <v>46356</v>
      </c>
      <c r="D65" s="1" t="s">
        <v>2354</v>
      </c>
      <c r="E65" s="1" t="s">
        <v>2336</v>
      </c>
      <c r="F65" s="4" t="s">
        <v>2296</v>
      </c>
      <c r="G65" s="4" t="s">
        <v>1747</v>
      </c>
      <c r="H65" s="4" t="s">
        <v>2234</v>
      </c>
      <c r="I65" s="4" t="s">
        <v>2244</v>
      </c>
      <c r="J65" t="s">
        <v>2948</v>
      </c>
      <c r="K65" s="1" t="s">
        <v>2244</v>
      </c>
      <c r="L65" s="1" t="s">
        <v>2238</v>
      </c>
      <c r="M65" s="1" t="s">
        <v>1747</v>
      </c>
      <c r="N65" s="9">
        <v>46158</v>
      </c>
      <c r="O65" s="9">
        <v>46003</v>
      </c>
      <c r="P65" s="9">
        <v>45937</v>
      </c>
      <c r="Q65" s="9">
        <v>45845</v>
      </c>
      <c r="R65" s="10" t="str">
        <f>HYPERLINK(_xlfn.CONCAT("https://mhmpl.sangamcrm.com/tickets/",Ticket3[[#This Row],[Id]]))</f>
        <v>https://mhmpl.sangamcrm.com/tickets/2b51b5aa-6e64-4a4f-9e02-cc92e64526f4</v>
      </c>
      <c r="S65" s="9" t="str">
        <f>_xlfn.CONCAT(Ticket3[[#This Row],[Account Name]]," ",Ticket3[[#This Row],[City]]," ",Ticket3[[#This Row],[Product Name]]," ",Ticket3[[#This Row],[Ticket Type]]," ")</f>
        <v xml:space="preserve">ARAVIND EYE HOSPITAL chennai CHENNAI FS200 PMS </v>
      </c>
    </row>
    <row r="66" spans="1:19" x14ac:dyDescent="0.25">
      <c r="A66" s="3">
        <v>47804</v>
      </c>
      <c r="B66" s="4" t="s">
        <v>2230</v>
      </c>
      <c r="C66" s="2">
        <v>46356</v>
      </c>
      <c r="D66" s="1" t="s">
        <v>2354</v>
      </c>
      <c r="E66" s="1" t="s">
        <v>2336</v>
      </c>
      <c r="F66" s="4" t="s">
        <v>2303</v>
      </c>
      <c r="G66" s="4" t="s">
        <v>1749</v>
      </c>
      <c r="H66" s="4" t="s">
        <v>2234</v>
      </c>
      <c r="I66" s="4" t="s">
        <v>2332</v>
      </c>
      <c r="J66" t="s">
        <v>2949</v>
      </c>
      <c r="K66" s="1" t="s">
        <v>2332</v>
      </c>
      <c r="L66" s="1" t="s">
        <v>2238</v>
      </c>
      <c r="M66" s="1" t="s">
        <v>1749</v>
      </c>
      <c r="N66" s="9">
        <v>46157</v>
      </c>
      <c r="O66" s="9">
        <v>46003</v>
      </c>
      <c r="P66" s="9">
        <v>45845</v>
      </c>
      <c r="Q66" s="9">
        <v>45647</v>
      </c>
      <c r="R66" s="10" t="str">
        <f>HYPERLINK(_xlfn.CONCAT("https://mhmpl.sangamcrm.com/tickets/",Ticket3[[#This Row],[Id]]))</f>
        <v>https://mhmpl.sangamcrm.com/tickets/a40e6345-fd44-4beb-b700-809c84f591c6</v>
      </c>
      <c r="S66" s="9" t="str">
        <f>_xlfn.CONCAT(Ticket3[[#This Row],[Account Name]]," ",Ticket3[[#This Row],[City]]," ",Ticket3[[#This Row],[Product Name]]," ",Ticket3[[#This Row],[Ticket Type]]," ")</f>
        <v xml:space="preserve">ARAVIND EYE HOSPITAL chennai CHENNAI EX500 PMS </v>
      </c>
    </row>
    <row r="67" spans="1:19" x14ac:dyDescent="0.25">
      <c r="A67" s="3">
        <v>42531</v>
      </c>
      <c r="B67" s="4" t="s">
        <v>2258</v>
      </c>
      <c r="C67" s="2">
        <v>46326</v>
      </c>
      <c r="D67" s="1" t="s">
        <v>2360</v>
      </c>
      <c r="E67" s="1" t="s">
        <v>2336</v>
      </c>
      <c r="F67" s="4" t="s">
        <v>2275</v>
      </c>
      <c r="G67" s="4" t="s">
        <v>1796</v>
      </c>
      <c r="H67" s="4" t="s">
        <v>2234</v>
      </c>
      <c r="I67" s="4" t="s">
        <v>2331</v>
      </c>
      <c r="J67" t="s">
        <v>2361</v>
      </c>
      <c r="K67" s="1" t="s">
        <v>2332</v>
      </c>
      <c r="L67" s="1" t="s">
        <v>2283</v>
      </c>
      <c r="M67" s="1" t="s">
        <v>1796</v>
      </c>
      <c r="N67" s="9">
        <v>46149</v>
      </c>
      <c r="O67" s="9">
        <v>45972</v>
      </c>
      <c r="P67" s="9">
        <v>45763</v>
      </c>
      <c r="Q67" s="9">
        <v>45607</v>
      </c>
      <c r="R67" s="10" t="str">
        <f>HYPERLINK(_xlfn.CONCAT("https://mhmpl.sangamcrm.com/tickets/",Ticket3[[#This Row],[Id]]))</f>
        <v>https://mhmpl.sangamcrm.com/tickets/13ab707b-df2f-4910-ae2b-f99698322ce5</v>
      </c>
      <c r="S67" s="9" t="str">
        <f>_xlfn.CONCAT(Ticket3[[#This Row],[Account Name]]," ",Ticket3[[#This Row],[City]]," ",Ticket3[[#This Row],[Product Name]]," ",Ticket3[[#This Row],[Ticket Type]]," ")</f>
        <v xml:space="preserve">DRR EYE HOSPITAL CHENNAI EM-4000 PMS </v>
      </c>
    </row>
    <row r="68" spans="1:19" x14ac:dyDescent="0.25">
      <c r="A68" s="3">
        <v>56986</v>
      </c>
      <c r="B68" s="4" t="s">
        <v>2258</v>
      </c>
      <c r="C68" s="2">
        <v>46322</v>
      </c>
      <c r="D68" s="1" t="s">
        <v>2335</v>
      </c>
      <c r="E68" s="1" t="s">
        <v>2336</v>
      </c>
      <c r="F68" s="4" t="s">
        <v>2278</v>
      </c>
      <c r="G68" s="4" t="s">
        <v>1805</v>
      </c>
      <c r="H68" s="4" t="s">
        <v>2330</v>
      </c>
      <c r="I68" s="4" t="s">
        <v>2332</v>
      </c>
      <c r="J68" t="s">
        <v>2705</v>
      </c>
      <c r="K68" s="1" t="s">
        <v>2332</v>
      </c>
      <c r="L68" s="1" t="s">
        <v>2251</v>
      </c>
      <c r="M68" s="1" t="s">
        <v>1805</v>
      </c>
      <c r="N68" s="9">
        <v>46272</v>
      </c>
      <c r="O68" s="9">
        <v>46063</v>
      </c>
      <c r="P68" s="9">
        <v>45882</v>
      </c>
      <c r="Q68" s="9">
        <v>45716</v>
      </c>
      <c r="R68" s="10" t="str">
        <f>HYPERLINK(_xlfn.CONCAT("https://mhmpl.sangamcrm.com/tickets/",Ticket3[[#This Row],[Id]]))</f>
        <v>https://mhmpl.sangamcrm.com/tickets/36e7de2c-896d-4b10-9c81-4b6ae6be5c6a</v>
      </c>
      <c r="S68" s="9" t="str">
        <f>_xlfn.CONCAT(Ticket3[[#This Row],[Account Name]]," ",Ticket3[[#This Row],[City]]," ",Ticket3[[#This Row],[Product Name]]," ",Ticket3[[#This Row],[Ticket Type]]," ")</f>
        <v xml:space="preserve">MEDICAL RESEARCH FOUNDATION CHENNAI EVOLUTION 3E Installation </v>
      </c>
    </row>
    <row r="69" spans="1:19" x14ac:dyDescent="0.25">
      <c r="A69" s="3">
        <v>51272</v>
      </c>
      <c r="B69" s="4" t="s">
        <v>2230</v>
      </c>
      <c r="C69" s="2">
        <v>46356</v>
      </c>
      <c r="D69" s="1" t="s">
        <v>2955</v>
      </c>
      <c r="E69" s="1" t="s">
        <v>2336</v>
      </c>
      <c r="F69" s="4" t="s">
        <v>2707</v>
      </c>
      <c r="G69" s="4" t="s">
        <v>1892</v>
      </c>
      <c r="H69" s="4" t="s">
        <v>2234</v>
      </c>
      <c r="I69" s="4" t="s">
        <v>2331</v>
      </c>
      <c r="J69" t="s">
        <v>2956</v>
      </c>
      <c r="K69" s="1" t="s">
        <v>2332</v>
      </c>
      <c r="L69" s="1" t="s">
        <v>2238</v>
      </c>
      <c r="M69" s="1" t="s">
        <v>1892</v>
      </c>
      <c r="N69" s="9">
        <v>46170</v>
      </c>
      <c r="O69" s="9">
        <v>45996</v>
      </c>
      <c r="P69" s="9">
        <v>45785</v>
      </c>
      <c r="Q69" s="9">
        <v>45617</v>
      </c>
      <c r="R69" s="10" t="str">
        <f>HYPERLINK(_xlfn.CONCAT("https://mhmpl.sangamcrm.com/tickets/",Ticket3[[#This Row],[Id]]))</f>
        <v>https://mhmpl.sangamcrm.com/tickets/2fa82667-ed4c-47d1-beee-c9caa291327a</v>
      </c>
      <c r="S69" s="9" t="str">
        <f>_xlfn.CONCAT(Ticket3[[#This Row],[Account Name]]," ",Ticket3[[#This Row],[City]]," ",Ticket3[[#This Row],[Product Name]]," ",Ticket3[[#This Row],[Ticket Type]]," ")</f>
        <v xml:space="preserve">JAYA EYE CLINIC CHENNAI HS-2321VD PMS </v>
      </c>
    </row>
    <row r="70" spans="1:19" x14ac:dyDescent="0.25">
      <c r="A70" s="3">
        <v>42535</v>
      </c>
      <c r="B70" s="4" t="s">
        <v>2258</v>
      </c>
      <c r="C70" s="2">
        <v>46326</v>
      </c>
      <c r="D70" s="1" t="s">
        <v>2360</v>
      </c>
      <c r="E70" s="1" t="s">
        <v>2336</v>
      </c>
      <c r="F70" s="4" t="s">
        <v>2334</v>
      </c>
      <c r="G70" s="4" t="s">
        <v>1935</v>
      </c>
      <c r="H70" s="4" t="s">
        <v>2234</v>
      </c>
      <c r="I70" s="4" t="s">
        <v>2331</v>
      </c>
      <c r="J70" t="s">
        <v>2362</v>
      </c>
      <c r="K70" s="1" t="s">
        <v>2332</v>
      </c>
      <c r="L70" s="1" t="s">
        <v>2283</v>
      </c>
      <c r="M70" s="1" t="s">
        <v>1935</v>
      </c>
      <c r="N70" s="9">
        <v>46149</v>
      </c>
      <c r="O70" s="9">
        <v>45941</v>
      </c>
      <c r="P70" s="9">
        <v>45762</v>
      </c>
      <c r="Q70" s="9">
        <v>45607</v>
      </c>
      <c r="R70" s="10" t="str">
        <f>HYPERLINK(_xlfn.CONCAT("https://mhmpl.sangamcrm.com/tickets/",Ticket3[[#This Row],[Id]]))</f>
        <v>https://mhmpl.sangamcrm.com/tickets/374bf3a9-3e5a-4f4d-bdf3-82c82e713523</v>
      </c>
      <c r="S70" s="9" t="str">
        <f>_xlfn.CONCAT(Ticket3[[#This Row],[Account Name]]," ",Ticket3[[#This Row],[City]]," ",Ticket3[[#This Row],[Product Name]]," ",Ticket3[[#This Row],[Ticket Type]]," ")</f>
        <v xml:space="preserve">DRR EYE HOSPITAL CHENNAI SIRIUS PMS </v>
      </c>
    </row>
    <row r="71" spans="1:19" x14ac:dyDescent="0.25">
      <c r="A71" s="3">
        <v>56833</v>
      </c>
      <c r="B71" s="4" t="s">
        <v>2364</v>
      </c>
      <c r="C71" s="2">
        <v>46319</v>
      </c>
      <c r="D71" s="1" t="s">
        <v>2363</v>
      </c>
      <c r="E71" s="1" t="s">
        <v>2336</v>
      </c>
      <c r="F71" s="4" t="s">
        <v>2296</v>
      </c>
      <c r="G71" s="4" t="s">
        <v>2023</v>
      </c>
      <c r="H71" s="4" t="s">
        <v>2249</v>
      </c>
      <c r="I71" s="4" t="s">
        <v>2244</v>
      </c>
      <c r="J71" t="s">
        <v>2679</v>
      </c>
      <c r="K71" s="1" t="s">
        <v>2244</v>
      </c>
      <c r="L71" s="1" t="s">
        <v>2251</v>
      </c>
      <c r="M71" s="1" t="s">
        <v>2023</v>
      </c>
      <c r="N71" s="9">
        <v>46311</v>
      </c>
      <c r="O71" s="9">
        <v>46147</v>
      </c>
      <c r="P71" s="9">
        <v>45960</v>
      </c>
      <c r="Q71" s="9">
        <v>45789</v>
      </c>
      <c r="R71" s="10" t="str">
        <f>HYPERLINK(_xlfn.CONCAT("https://mhmpl.sangamcrm.com/tickets/",Ticket3[[#This Row],[Id]]))</f>
        <v>https://mhmpl.sangamcrm.com/tickets/7f21e398-bc55-4363-ade7-5a6ccd21c23a</v>
      </c>
      <c r="S71" s="9" t="str">
        <f>_xlfn.CONCAT(Ticket3[[#This Row],[Account Name]]," ",Ticket3[[#This Row],[City]]," ",Ticket3[[#This Row],[Product Name]]," ",Ticket3[[#This Row],[Ticket Type]]," ")</f>
        <v xml:space="preserve">AMRIT LASIK AND EYE SURGERY CENTRE CHENNAI FS200 Service </v>
      </c>
    </row>
    <row r="72" spans="1:19" x14ac:dyDescent="0.25">
      <c r="A72" s="3">
        <v>49339</v>
      </c>
      <c r="B72" s="4" t="s">
        <v>2230</v>
      </c>
      <c r="C72" s="2">
        <v>46356</v>
      </c>
      <c r="D72" s="1" t="s">
        <v>2354</v>
      </c>
      <c r="E72" s="1" t="s">
        <v>2336</v>
      </c>
      <c r="F72" s="4" t="s">
        <v>2979</v>
      </c>
      <c r="G72" s="4" t="s">
        <v>2980</v>
      </c>
      <c r="H72" s="4" t="s">
        <v>2234</v>
      </c>
      <c r="I72" s="4" t="s">
        <v>2337</v>
      </c>
      <c r="J72" t="s">
        <v>2981</v>
      </c>
      <c r="K72" s="1" t="s">
        <v>2332</v>
      </c>
      <c r="L72" s="1" t="s">
        <v>2238</v>
      </c>
      <c r="M72" s="1"/>
      <c r="N72" s="9"/>
      <c r="O72" s="9"/>
      <c r="P72" s="9"/>
      <c r="Q72" s="9"/>
      <c r="R72" s="10" t="str">
        <f>HYPERLINK(_xlfn.CONCAT("https://mhmpl.sangamcrm.com/tickets/",Ticket3[[#This Row],[Id]]))</f>
        <v>https://mhmpl.sangamcrm.com/tickets/e08552df-9be7-4875-b4de-7572dd0f7893</v>
      </c>
      <c r="S72" s="9" t="str">
        <f>_xlfn.CONCAT(Ticket3[[#This Row],[Account Name]]," ",Ticket3[[#This Row],[City]]," ",Ticket3[[#This Row],[Product Name]]," ",Ticket3[[#This Row],[Ticket Type]]," ")</f>
        <v xml:space="preserve">ARAVIND EYE HOSPITAL chennai CHENNAI IDRA PMS </v>
      </c>
    </row>
    <row r="73" spans="1:19" x14ac:dyDescent="0.25">
      <c r="A73" s="3">
        <v>49341</v>
      </c>
      <c r="B73" s="4" t="s">
        <v>2230</v>
      </c>
      <c r="C73" s="2">
        <v>46356</v>
      </c>
      <c r="D73" s="1" t="s">
        <v>2354</v>
      </c>
      <c r="E73" s="1" t="s">
        <v>2336</v>
      </c>
      <c r="F73" s="4" t="s">
        <v>2248</v>
      </c>
      <c r="G73" s="4" t="s">
        <v>2983</v>
      </c>
      <c r="H73" s="4" t="s">
        <v>2234</v>
      </c>
      <c r="I73" s="4" t="s">
        <v>2337</v>
      </c>
      <c r="J73" t="s">
        <v>2984</v>
      </c>
      <c r="K73" s="1" t="s">
        <v>2332</v>
      </c>
      <c r="L73" s="1" t="s">
        <v>2238</v>
      </c>
      <c r="M73" s="1"/>
      <c r="N73" s="9"/>
      <c r="O73" s="9"/>
      <c r="P73" s="9"/>
      <c r="Q73" s="9"/>
      <c r="R73" s="10" t="str">
        <f>HYPERLINK(_xlfn.CONCAT("https://mhmpl.sangamcrm.com/tickets/",Ticket3[[#This Row],[Id]]))</f>
        <v>https://mhmpl.sangamcrm.com/tickets/be765390-f74b-4fa6-9d6c-067d8037af1b</v>
      </c>
      <c r="S73" s="9" t="str">
        <f>_xlfn.CONCAT(Ticket3[[#This Row],[Account Name]]," ",Ticket3[[#This Row],[City]]," ",Ticket3[[#This Row],[Product Name]]," ",Ticket3[[#This Row],[Ticket Type]]," ")</f>
        <v xml:space="preserve">ARAVIND EYE HOSPITAL chennai CHENNAI E-Eye PMS </v>
      </c>
    </row>
    <row r="74" spans="1:19" x14ac:dyDescent="0.25">
      <c r="A74" s="3">
        <v>52210</v>
      </c>
      <c r="B74" s="4" t="s">
        <v>2230</v>
      </c>
      <c r="C74" s="2">
        <v>46356</v>
      </c>
      <c r="D74" s="1" t="s">
        <v>2917</v>
      </c>
      <c r="E74" s="1" t="s">
        <v>2918</v>
      </c>
      <c r="F74" s="4" t="s">
        <v>2284</v>
      </c>
      <c r="G74" s="4" t="s">
        <v>1391</v>
      </c>
      <c r="H74" s="4" t="s">
        <v>2234</v>
      </c>
      <c r="I74" s="4" t="s">
        <v>2337</v>
      </c>
      <c r="J74" t="s">
        <v>2919</v>
      </c>
      <c r="K74" s="1" t="s">
        <v>2332</v>
      </c>
      <c r="L74" s="1" t="s">
        <v>2238</v>
      </c>
      <c r="M74" s="1" t="s">
        <v>1391</v>
      </c>
      <c r="N74" s="9">
        <v>46154</v>
      </c>
      <c r="O74" s="9">
        <v>46036</v>
      </c>
      <c r="P74" s="9">
        <v>45786</v>
      </c>
      <c r="Q74" s="9">
        <v>45625</v>
      </c>
      <c r="R74" s="10" t="str">
        <f>HYPERLINK(_xlfn.CONCAT("https://mhmpl.sangamcrm.com/tickets/",Ticket3[[#This Row],[Id]]))</f>
        <v>https://mhmpl.sangamcrm.com/tickets/7c4e032f-dd7d-4685-8cfb-194299f54fa2</v>
      </c>
      <c r="S74" s="9" t="str">
        <f>_xlfn.CONCAT(Ticket3[[#This Row],[Account Name]]," ",Ticket3[[#This Row],[City]]," ",Ticket3[[#This Row],[Product Name]]," ",Ticket3[[#This Row],[Ticket Type]]," ")</f>
        <v xml:space="preserve">SENTHIL EYE CLINIC CHEYYAR OA-2000 PMS </v>
      </c>
    </row>
    <row r="75" spans="1:19" x14ac:dyDescent="0.25">
      <c r="A75" s="3">
        <v>42272</v>
      </c>
      <c r="B75" s="4" t="s">
        <v>2230</v>
      </c>
      <c r="C75" s="2">
        <v>46326</v>
      </c>
      <c r="D75" s="1" t="s">
        <v>2365</v>
      </c>
      <c r="E75" s="1" t="s">
        <v>2366</v>
      </c>
      <c r="F75" s="4" t="s">
        <v>2319</v>
      </c>
      <c r="G75" s="4" t="s">
        <v>1953</v>
      </c>
      <c r="H75" s="4" t="s">
        <v>2234</v>
      </c>
      <c r="I75" s="4" t="s">
        <v>2281</v>
      </c>
      <c r="J75" t="s">
        <v>2367</v>
      </c>
      <c r="K75" s="1" t="s">
        <v>2266</v>
      </c>
      <c r="L75" s="1" t="s">
        <v>2283</v>
      </c>
      <c r="M75" s="1" t="s">
        <v>1953</v>
      </c>
      <c r="N75" s="9">
        <v>46298</v>
      </c>
      <c r="O75" s="9">
        <v>45961</v>
      </c>
      <c r="P75" s="9">
        <v>45705</v>
      </c>
      <c r="Q75" s="9">
        <v>45482</v>
      </c>
      <c r="R75" s="10" t="str">
        <f>HYPERLINK(_xlfn.CONCAT("https://mhmpl.sangamcrm.com/tickets/",Ticket3[[#This Row],[Id]]))</f>
        <v>https://mhmpl.sangamcrm.com/tickets/927c7b12-479d-401d-a6ba-00c81c3b4d23</v>
      </c>
      <c r="S75" s="9" t="str">
        <f>_xlfn.CONCAT(Ticket3[[#This Row],[Account Name]]," ",Ticket3[[#This Row],[City]]," ",Ticket3[[#This Row],[Product Name]]," ",Ticket3[[#This Row],[Ticket Type]]," ")</f>
        <v xml:space="preserve">DARSHAN NETHRALAYA CHIKMANGALUR HS-2321BD PMS </v>
      </c>
    </row>
    <row r="76" spans="1:19" x14ac:dyDescent="0.25">
      <c r="A76" s="3">
        <v>42135</v>
      </c>
      <c r="B76" s="4" t="s">
        <v>2230</v>
      </c>
      <c r="C76" s="2">
        <v>46326</v>
      </c>
      <c r="D76" s="1" t="s">
        <v>2368</v>
      </c>
      <c r="E76" s="1" t="s">
        <v>2366</v>
      </c>
      <c r="F76" s="4" t="s">
        <v>2319</v>
      </c>
      <c r="G76" s="4" t="s">
        <v>1973</v>
      </c>
      <c r="H76" s="4" t="s">
        <v>2234</v>
      </c>
      <c r="I76" s="4" t="s">
        <v>2281</v>
      </c>
      <c r="J76" t="s">
        <v>2369</v>
      </c>
      <c r="K76" s="1" t="s">
        <v>2266</v>
      </c>
      <c r="L76" s="1" t="s">
        <v>2283</v>
      </c>
      <c r="M76" s="1" t="s">
        <v>1973</v>
      </c>
      <c r="N76" s="9">
        <v>46298</v>
      </c>
      <c r="O76" s="9">
        <v>45979</v>
      </c>
      <c r="P76" s="9">
        <v>45705</v>
      </c>
      <c r="Q76" s="9">
        <v>45482</v>
      </c>
      <c r="R76" s="10" t="str">
        <f>HYPERLINK(_xlfn.CONCAT("https://mhmpl.sangamcrm.com/tickets/",Ticket3[[#This Row],[Id]]))</f>
        <v>https://mhmpl.sangamcrm.com/tickets/48681bc7-3b91-44b2-a16a-a7e8fe5f1b5a</v>
      </c>
      <c r="S76" s="9" t="str">
        <f>_xlfn.CONCAT(Ticket3[[#This Row],[Account Name]]," ",Ticket3[[#This Row],[City]]," ",Ticket3[[#This Row],[Product Name]]," ",Ticket3[[#This Row],[Ticket Type]]," ")</f>
        <v xml:space="preserve">SARGOD EYE CARE CHIKMANGALUR HS-2321BD PMS </v>
      </c>
    </row>
    <row r="77" spans="1:19" x14ac:dyDescent="0.25">
      <c r="A77" s="3">
        <v>51893</v>
      </c>
      <c r="B77" s="4" t="s">
        <v>2230</v>
      </c>
      <c r="C77" s="2">
        <v>46356</v>
      </c>
      <c r="D77" s="1" t="s">
        <v>2371</v>
      </c>
      <c r="E77" s="1" t="s">
        <v>2370</v>
      </c>
      <c r="F77" s="4" t="s">
        <v>2265</v>
      </c>
      <c r="G77" s="4" t="s">
        <v>54</v>
      </c>
      <c r="H77" s="4" t="s">
        <v>2234</v>
      </c>
      <c r="I77" s="4" t="s">
        <v>2257</v>
      </c>
      <c r="J77" t="s">
        <v>2747</v>
      </c>
      <c r="K77" s="1" t="s">
        <v>2257</v>
      </c>
      <c r="L77" s="1" t="s">
        <v>2238</v>
      </c>
      <c r="M77" s="1" t="s">
        <v>54</v>
      </c>
      <c r="N77" s="9"/>
      <c r="O77" s="9"/>
      <c r="P77" s="9"/>
      <c r="Q77" s="9"/>
      <c r="R77" s="10" t="str">
        <f>HYPERLINK(_xlfn.CONCAT("https://mhmpl.sangamcrm.com/tickets/",Ticket3[[#This Row],[Id]]))</f>
        <v>https://mhmpl.sangamcrm.com/tickets/497e0167-82b7-4c39-a18e-e060ffd81d94</v>
      </c>
      <c r="S77" s="9" t="str">
        <f>_xlfn.CONCAT(Ticket3[[#This Row],[Account Name]]," ",Ticket3[[#This Row],[City]]," ",Ticket3[[#This Row],[Product Name]]," ",Ticket3[[#This Row],[Ticket Type]]," ")</f>
        <v xml:space="preserve">AGARWAL EYE HOSPITAL CBE COIMBATORE TOPOLYZER VARIO PMS </v>
      </c>
    </row>
    <row r="78" spans="1:19" x14ac:dyDescent="0.25">
      <c r="A78" s="3">
        <v>52330</v>
      </c>
      <c r="B78" s="4" t="s">
        <v>2230</v>
      </c>
      <c r="C78" s="2">
        <v>46326</v>
      </c>
      <c r="D78" s="1" t="s">
        <v>2371</v>
      </c>
      <c r="E78" s="1" t="s">
        <v>2370</v>
      </c>
      <c r="F78" s="4" t="s">
        <v>2303</v>
      </c>
      <c r="G78" s="4" t="s">
        <v>1438</v>
      </c>
      <c r="H78" s="4" t="s">
        <v>2234</v>
      </c>
      <c r="I78" s="4" t="s">
        <v>2257</v>
      </c>
      <c r="J78" t="s">
        <v>2372</v>
      </c>
      <c r="K78" s="1" t="s">
        <v>2257</v>
      </c>
      <c r="L78" s="1" t="s">
        <v>2283</v>
      </c>
      <c r="M78" s="1" t="s">
        <v>1438</v>
      </c>
      <c r="N78" s="9">
        <v>46326</v>
      </c>
      <c r="O78" s="9">
        <v>46106</v>
      </c>
      <c r="P78" s="9">
        <v>45918</v>
      </c>
      <c r="Q78" s="9">
        <v>45717</v>
      </c>
      <c r="R78" s="10" t="str">
        <f>HYPERLINK(_xlfn.CONCAT("https://mhmpl.sangamcrm.com/tickets/",Ticket3[[#This Row],[Id]]))</f>
        <v>https://mhmpl.sangamcrm.com/tickets/b264443e-eb02-42e4-a7ad-cdac3b15ac57</v>
      </c>
      <c r="S78" s="9" t="str">
        <f>_xlfn.CONCAT(Ticket3[[#This Row],[Account Name]]," ",Ticket3[[#This Row],[City]]," ",Ticket3[[#This Row],[Product Name]]," ",Ticket3[[#This Row],[Ticket Type]]," ")</f>
        <v xml:space="preserve">AGARWAL EYE HOSPITAL CBE COIMBATORE EX500 PMS </v>
      </c>
    </row>
    <row r="79" spans="1:19" x14ac:dyDescent="0.25">
      <c r="A79" s="3">
        <v>49088</v>
      </c>
      <c r="B79" s="4" t="s">
        <v>2230</v>
      </c>
      <c r="C79" s="2">
        <v>46326</v>
      </c>
      <c r="D79" s="1" t="s">
        <v>2373</v>
      </c>
      <c r="E79" s="1" t="s">
        <v>2370</v>
      </c>
      <c r="F79" s="4" t="s">
        <v>2284</v>
      </c>
      <c r="G79" s="4" t="s">
        <v>1531</v>
      </c>
      <c r="H79" s="4" t="s">
        <v>2234</v>
      </c>
      <c r="I79" s="4" t="s">
        <v>2255</v>
      </c>
      <c r="J79" t="s">
        <v>2374</v>
      </c>
      <c r="K79" s="1" t="s">
        <v>2257</v>
      </c>
      <c r="L79" s="1" t="s">
        <v>2283</v>
      </c>
      <c r="M79" s="1" t="s">
        <v>1531</v>
      </c>
      <c r="N79" s="9">
        <v>46101</v>
      </c>
      <c r="O79" s="9">
        <v>45883</v>
      </c>
      <c r="P79" s="9">
        <v>45695</v>
      </c>
      <c r="Q79" s="9">
        <v>45540</v>
      </c>
      <c r="R79" s="10" t="str">
        <f>HYPERLINK(_xlfn.CONCAT("https://mhmpl.sangamcrm.com/tickets/",Ticket3[[#This Row],[Id]]))</f>
        <v>https://mhmpl.sangamcrm.com/tickets/e55c58c6-3e4a-47b9-9da9-dc1afd0b0fd2</v>
      </c>
      <c r="S79" s="9" t="str">
        <f>_xlfn.CONCAT(Ticket3[[#This Row],[Account Name]]," ",Ticket3[[#This Row],[City]]," ",Ticket3[[#This Row],[Product Name]]," ",Ticket3[[#This Row],[Ticket Type]]," ")</f>
        <v xml:space="preserve">SRI KANCHI KAMAKOTI MEDICAL TRUST COIMBATORE OA-2000 PMS </v>
      </c>
    </row>
    <row r="80" spans="1:19" x14ac:dyDescent="0.25">
      <c r="A80" s="3">
        <v>56673</v>
      </c>
      <c r="B80" s="4" t="s">
        <v>2261</v>
      </c>
      <c r="C80" s="2">
        <v>46322</v>
      </c>
      <c r="D80" s="1" t="s">
        <v>2290</v>
      </c>
      <c r="E80" s="1" t="s">
        <v>2370</v>
      </c>
      <c r="F80" s="4" t="s">
        <v>2265</v>
      </c>
      <c r="G80" s="4" t="s">
        <v>2108</v>
      </c>
      <c r="H80" s="4" t="s">
        <v>2249</v>
      </c>
      <c r="I80" s="4" t="s">
        <v>2520</v>
      </c>
      <c r="J80" t="s">
        <v>2682</v>
      </c>
      <c r="K80" s="1" t="s">
        <v>2257</v>
      </c>
      <c r="L80" s="1" t="s">
        <v>2251</v>
      </c>
      <c r="M80" s="1" t="s">
        <v>2108</v>
      </c>
      <c r="N80" s="9">
        <v>46294</v>
      </c>
      <c r="O80" s="9">
        <v>46144</v>
      </c>
      <c r="P80" s="9">
        <v>46056</v>
      </c>
      <c r="Q80" s="9">
        <v>45908</v>
      </c>
      <c r="R80" s="10" t="str">
        <f>HYPERLINK(_xlfn.CONCAT("https://mhmpl.sangamcrm.com/tickets/",Ticket3[[#This Row],[Id]]))</f>
        <v>https://mhmpl.sangamcrm.com/tickets/688ba916-881b-4c48-ad9a-a495fe471f1c</v>
      </c>
      <c r="S80" s="9" t="str">
        <f>_xlfn.CONCAT(Ticket3[[#This Row],[Account Name]]," ",Ticket3[[#This Row],[City]]," ",Ticket3[[#This Row],[Product Name]]," ",Ticket3[[#This Row],[Ticket Type]]," ")</f>
        <v xml:space="preserve">THE EYE FOUNDATION COIMBATORE TOPOLYZER VARIO Service </v>
      </c>
    </row>
    <row r="81" spans="1:19" x14ac:dyDescent="0.25">
      <c r="A81" s="3">
        <v>44228</v>
      </c>
      <c r="B81" s="4" t="s">
        <v>2230</v>
      </c>
      <c r="C81" s="2">
        <v>46326</v>
      </c>
      <c r="D81" s="1" t="s">
        <v>2375</v>
      </c>
      <c r="E81" s="1" t="s">
        <v>2370</v>
      </c>
      <c r="F81" s="4" t="s">
        <v>2376</v>
      </c>
      <c r="G81" s="4" t="s">
        <v>2165</v>
      </c>
      <c r="H81" s="4" t="s">
        <v>2234</v>
      </c>
      <c r="I81" s="4" t="s">
        <v>2255</v>
      </c>
      <c r="J81" t="s">
        <v>2377</v>
      </c>
      <c r="K81" s="1" t="s">
        <v>2257</v>
      </c>
      <c r="L81" s="1" t="s">
        <v>2283</v>
      </c>
      <c r="M81" s="1" t="s">
        <v>2165</v>
      </c>
      <c r="N81" s="9">
        <v>46253</v>
      </c>
      <c r="O81" s="9">
        <v>45869</v>
      </c>
      <c r="P81" s="9">
        <v>45534</v>
      </c>
      <c r="Q81" s="9">
        <v>45274</v>
      </c>
      <c r="R81" s="10" t="str">
        <f>HYPERLINK(_xlfn.CONCAT("https://mhmpl.sangamcrm.com/tickets/",Ticket3[[#This Row],[Id]]))</f>
        <v>https://mhmpl.sangamcrm.com/tickets/f41f64fc-e71e-4776-a6fc-54a9bdbc56d6</v>
      </c>
      <c r="S81" s="9" t="str">
        <f>_xlfn.CONCAT(Ticket3[[#This Row],[Account Name]]," ",Ticket3[[#This Row],[City]]," ",Ticket3[[#This Row],[Product Name]]," ",Ticket3[[#This Row],[Ticket Type]]," ")</f>
        <v xml:space="preserve">LOTUS EYE HOSPITAL &amp; EYE INSTITUTE COIMBATORE UV-X 1000 PMS </v>
      </c>
    </row>
    <row r="82" spans="1:19" x14ac:dyDescent="0.25">
      <c r="A82" s="3">
        <v>47440</v>
      </c>
      <c r="B82" s="4" t="s">
        <v>2230</v>
      </c>
      <c r="C82" s="2">
        <v>46326</v>
      </c>
      <c r="D82" s="1" t="s">
        <v>2378</v>
      </c>
      <c r="E82" s="1" t="s">
        <v>2379</v>
      </c>
      <c r="F82" s="4" t="s">
        <v>2303</v>
      </c>
      <c r="G82" s="4" t="s">
        <v>1990</v>
      </c>
      <c r="H82" s="4" t="s">
        <v>2234</v>
      </c>
      <c r="I82" s="4" t="s">
        <v>2257</v>
      </c>
      <c r="J82" t="s">
        <v>2380</v>
      </c>
      <c r="K82" s="1" t="s">
        <v>2257</v>
      </c>
      <c r="L82" s="1" t="s">
        <v>2283</v>
      </c>
      <c r="M82" s="1" t="s">
        <v>1990</v>
      </c>
      <c r="N82" s="9">
        <v>46095</v>
      </c>
      <c r="O82" s="9">
        <v>45770</v>
      </c>
      <c r="P82" s="9">
        <v>45084</v>
      </c>
      <c r="Q82" s="9"/>
      <c r="R82" s="10" t="str">
        <f>HYPERLINK(_xlfn.CONCAT("https://mhmpl.sangamcrm.com/tickets/",Ticket3[[#This Row],[Id]]))</f>
        <v>https://mhmpl.sangamcrm.com/tickets/2b26d5d6-4a9e-46f9-b517-e1de8409d070</v>
      </c>
      <c r="S82" s="9" t="str">
        <f>_xlfn.CONCAT(Ticket3[[#This Row],[Account Name]]," ",Ticket3[[#This Row],[City]]," ",Ticket3[[#This Row],[Product Name]]," ",Ticket3[[#This Row],[Ticket Type]]," ")</f>
        <v xml:space="preserve">NAWALOKA HOSPITALS PLC COLOMBO EX500 PMS </v>
      </c>
    </row>
    <row r="83" spans="1:19" x14ac:dyDescent="0.25">
      <c r="A83" s="3">
        <v>43932</v>
      </c>
      <c r="B83" s="4" t="s">
        <v>2230</v>
      </c>
      <c r="C83" s="2">
        <v>46356</v>
      </c>
      <c r="D83" s="1" t="s">
        <v>2825</v>
      </c>
      <c r="E83" s="1" t="s">
        <v>2826</v>
      </c>
      <c r="F83" s="4" t="s">
        <v>2286</v>
      </c>
      <c r="G83" s="4" t="s">
        <v>532</v>
      </c>
      <c r="H83" s="4" t="s">
        <v>2234</v>
      </c>
      <c r="I83" s="4" t="s">
        <v>2281</v>
      </c>
      <c r="J83" t="s">
        <v>2827</v>
      </c>
      <c r="K83" s="1" t="s">
        <v>2266</v>
      </c>
      <c r="L83" s="1" t="s">
        <v>2238</v>
      </c>
      <c r="M83" s="1" t="s">
        <v>532</v>
      </c>
      <c r="N83" s="9">
        <v>46149</v>
      </c>
      <c r="O83" s="9">
        <v>46060</v>
      </c>
      <c r="P83" s="9">
        <v>45957</v>
      </c>
      <c r="Q83" s="9">
        <v>45807</v>
      </c>
      <c r="R83" s="10" t="str">
        <f>HYPERLINK(_xlfn.CONCAT("https://mhmpl.sangamcrm.com/tickets/",Ticket3[[#This Row],[Id]]))</f>
        <v>https://mhmpl.sangamcrm.com/tickets/b4cb9a66-8f9f-423a-83f0-8d40e9591a2f</v>
      </c>
      <c r="S83" s="9" t="str">
        <f>_xlfn.CONCAT(Ticket3[[#This Row],[Account Name]]," ",Ticket3[[#This Row],[City]]," ",Ticket3[[#This Row],[Product Name]]," ",Ticket3[[#This Row],[Ticket Type]]," ")</f>
        <v xml:space="preserve">Eye care center davangere Davangere REVO FC PMS </v>
      </c>
    </row>
    <row r="84" spans="1:19" x14ac:dyDescent="0.25">
      <c r="A84" s="3">
        <v>50827</v>
      </c>
      <c r="B84" s="4" t="s">
        <v>2230</v>
      </c>
      <c r="C84" s="2">
        <v>46356</v>
      </c>
      <c r="D84" s="1" t="s">
        <v>2813</v>
      </c>
      <c r="E84" s="1" t="s">
        <v>2814</v>
      </c>
      <c r="F84" s="4" t="s">
        <v>2284</v>
      </c>
      <c r="G84" s="4" t="s">
        <v>382</v>
      </c>
      <c r="H84" s="4" t="s">
        <v>2234</v>
      </c>
      <c r="I84" s="4" t="s">
        <v>2257</v>
      </c>
      <c r="J84" t="s">
        <v>2815</v>
      </c>
      <c r="K84" s="1" t="s">
        <v>2257</v>
      </c>
      <c r="L84" s="1" t="s">
        <v>2238</v>
      </c>
      <c r="M84" s="1" t="s">
        <v>382</v>
      </c>
      <c r="N84" s="9">
        <v>46141</v>
      </c>
      <c r="O84" s="9">
        <v>45923</v>
      </c>
      <c r="P84" s="9"/>
      <c r="Q84" s="9"/>
      <c r="R84" s="10" t="str">
        <f>HYPERLINK(_xlfn.CONCAT("https://mhmpl.sangamcrm.com/tickets/",Ticket3[[#This Row],[Id]]))</f>
        <v>https://mhmpl.sangamcrm.com/tickets/fd45a8b0-da7f-4ca9-8725-1de3cba91346</v>
      </c>
      <c r="S84" s="9" t="str">
        <f>_xlfn.CONCAT(Ticket3[[#This Row],[Account Name]]," ",Ticket3[[#This Row],[City]]," ",Ticket3[[#This Row],[Product Name]]," ",Ticket3[[#This Row],[Ticket Type]]," ")</f>
        <v xml:space="preserve">KRISHNA EYE FOUNDATION Dharmapuri OA-2000 PMS </v>
      </c>
    </row>
    <row r="85" spans="1:19" x14ac:dyDescent="0.25">
      <c r="A85" s="3">
        <v>45984</v>
      </c>
      <c r="B85" s="4" t="s">
        <v>2230</v>
      </c>
      <c r="C85" s="2">
        <v>46356</v>
      </c>
      <c r="D85" s="1" t="s">
        <v>2840</v>
      </c>
      <c r="E85" s="1" t="s">
        <v>2841</v>
      </c>
      <c r="F85" s="4" t="s">
        <v>2286</v>
      </c>
      <c r="G85" s="4" t="s">
        <v>762</v>
      </c>
      <c r="H85" s="4" t="s">
        <v>2234</v>
      </c>
      <c r="I85" s="4" t="s">
        <v>2271</v>
      </c>
      <c r="J85" t="s">
        <v>2842</v>
      </c>
      <c r="K85" s="1" t="s">
        <v>2266</v>
      </c>
      <c r="L85" s="1" t="s">
        <v>2238</v>
      </c>
      <c r="M85" s="1" t="s">
        <v>762</v>
      </c>
      <c r="N85" s="9">
        <v>46174</v>
      </c>
      <c r="O85" s="9">
        <v>46008</v>
      </c>
      <c r="P85" s="9">
        <v>45829</v>
      </c>
      <c r="Q85" s="9">
        <v>45649</v>
      </c>
      <c r="R85" s="10" t="str">
        <f>HYPERLINK(_xlfn.CONCAT("https://mhmpl.sangamcrm.com/tickets/",Ticket3[[#This Row],[Id]]))</f>
        <v>https://mhmpl.sangamcrm.com/tickets/30ff85bb-9919-4494-938e-d88919b25711</v>
      </c>
      <c r="S85" s="9" t="str">
        <f>_xlfn.CONCAT(Ticket3[[#This Row],[Account Name]]," ",Ticket3[[#This Row],[City]]," ",Ticket3[[#This Row],[Product Name]]," ",Ticket3[[#This Row],[Ticket Type]]," ")</f>
        <v xml:space="preserve">MM JOSHI EYE INSTITUITE Dharwad DHARWAD REVO FC PMS </v>
      </c>
    </row>
    <row r="86" spans="1:19" x14ac:dyDescent="0.25">
      <c r="A86" s="3">
        <v>48121</v>
      </c>
      <c r="B86" s="4" t="s">
        <v>2230</v>
      </c>
      <c r="C86" s="2">
        <v>46326</v>
      </c>
      <c r="D86" s="1" t="s">
        <v>2381</v>
      </c>
      <c r="E86" s="1" t="s">
        <v>2382</v>
      </c>
      <c r="F86" s="4" t="s">
        <v>2383</v>
      </c>
      <c r="G86" s="4" t="s">
        <v>2148</v>
      </c>
      <c r="H86" s="4" t="s">
        <v>2234</v>
      </c>
      <c r="I86" s="4" t="s">
        <v>2255</v>
      </c>
      <c r="J86" t="s">
        <v>2384</v>
      </c>
      <c r="K86" s="1" t="s">
        <v>2257</v>
      </c>
      <c r="L86" s="1" t="s">
        <v>2283</v>
      </c>
      <c r="M86" s="1" t="s">
        <v>2148</v>
      </c>
      <c r="N86" s="9">
        <v>46162</v>
      </c>
      <c r="O86" s="9">
        <v>45861</v>
      </c>
      <c r="P86" s="9">
        <v>45714</v>
      </c>
      <c r="Q86" s="9">
        <v>45618</v>
      </c>
      <c r="R86" s="10" t="str">
        <f>HYPERLINK(_xlfn.CONCAT("https://mhmpl.sangamcrm.com/tickets/",Ticket3[[#This Row],[Id]]))</f>
        <v>https://mhmpl.sangamcrm.com/tickets/d199f00c-e67b-4f84-a056-722e159de65e</v>
      </c>
      <c r="S86" s="9" t="str">
        <f>_xlfn.CONCAT(Ticket3[[#This Row],[Account Name]]," ",Ticket3[[#This Row],[City]]," ",Ticket3[[#This Row],[Product Name]]," ",Ticket3[[#This Row],[Ticket Type]]," ")</f>
        <v xml:space="preserve">ARAVIND EYE HOSPITAL DINDIGUL HS-1321 PMS </v>
      </c>
    </row>
    <row r="87" spans="1:19" x14ac:dyDescent="0.25">
      <c r="A87" s="3">
        <v>44775</v>
      </c>
      <c r="B87" s="4" t="s">
        <v>2230</v>
      </c>
      <c r="C87" s="2">
        <v>46356</v>
      </c>
      <c r="D87" s="1" t="s">
        <v>2733</v>
      </c>
      <c r="E87" s="1" t="s">
        <v>2734</v>
      </c>
      <c r="F87" s="4" t="s">
        <v>2233</v>
      </c>
      <c r="G87" s="4" t="s">
        <v>215</v>
      </c>
      <c r="H87" s="4" t="s">
        <v>2234</v>
      </c>
      <c r="I87" s="4" t="s">
        <v>2327</v>
      </c>
      <c r="J87" t="s">
        <v>2735</v>
      </c>
      <c r="K87" s="1" t="s">
        <v>2237</v>
      </c>
      <c r="L87" s="1" t="s">
        <v>2238</v>
      </c>
      <c r="M87" s="1" t="s">
        <v>215</v>
      </c>
      <c r="N87" s="9">
        <v>46149</v>
      </c>
      <c r="O87" s="9"/>
      <c r="P87" s="9"/>
      <c r="Q87" s="9"/>
      <c r="R87" s="10" t="str">
        <f>HYPERLINK(_xlfn.CONCAT("https://mhmpl.sangamcrm.com/tickets/",Ticket3[[#This Row],[Id]]))</f>
        <v>https://mhmpl.sangamcrm.com/tickets/a1f1346e-cdc2-43dc-a299-a39cc233c918</v>
      </c>
      <c r="S87" s="9" t="str">
        <f>_xlfn.CONCAT(Ticket3[[#This Row],[Account Name]]," ",Ticket3[[#This Row],[City]]," ",Ticket3[[#This Row],[Product Name]]," ",Ticket3[[#This Row],[Ticket Type]]," ")</f>
        <v xml:space="preserve">RAYHAN EYE HOSPITAL &amp; LASIK CENTRE Edappal REVO 60 PMS </v>
      </c>
    </row>
    <row r="88" spans="1:19" x14ac:dyDescent="0.25">
      <c r="A88" s="3">
        <v>56588</v>
      </c>
      <c r="B88" s="4" t="s">
        <v>2258</v>
      </c>
      <c r="C88" s="2">
        <v>46317</v>
      </c>
      <c r="D88" s="1" t="s">
        <v>2676</v>
      </c>
      <c r="E88" s="1" t="s">
        <v>2677</v>
      </c>
      <c r="F88" s="4" t="s">
        <v>2303</v>
      </c>
      <c r="G88" s="4" t="s">
        <v>1969</v>
      </c>
      <c r="H88" s="4" t="s">
        <v>2249</v>
      </c>
      <c r="I88" s="4" t="s">
        <v>2237</v>
      </c>
      <c r="J88" t="s">
        <v>2678</v>
      </c>
      <c r="K88" s="1" t="s">
        <v>2237</v>
      </c>
      <c r="L88" s="1" t="s">
        <v>2251</v>
      </c>
      <c r="M88" s="1" t="s">
        <v>1969</v>
      </c>
      <c r="N88" s="9">
        <v>46283</v>
      </c>
      <c r="O88" s="9">
        <v>46114</v>
      </c>
      <c r="P88" s="9">
        <v>45922</v>
      </c>
      <c r="Q88" s="9">
        <v>45777</v>
      </c>
      <c r="R88" s="10" t="str">
        <f>HYPERLINK(_xlfn.CONCAT("https://mhmpl.sangamcrm.com/tickets/",Ticket3[[#This Row],[Id]]))</f>
        <v>https://mhmpl.sangamcrm.com/tickets/20708657-116e-4094-9f71-7a075e17051d</v>
      </c>
      <c r="S88" s="9" t="str">
        <f>_xlfn.CONCAT(Ticket3[[#This Row],[Account Name]]," ",Ticket3[[#This Row],[City]]," ",Ticket3[[#This Row],[Product Name]]," ",Ticket3[[#This Row],[Ticket Type]]," ")</f>
        <v xml:space="preserve">GIRIDHAR EYE INSTITUTE Ernakulam EX500 Service </v>
      </c>
    </row>
    <row r="89" spans="1:19" x14ac:dyDescent="0.25">
      <c r="A89" s="3">
        <v>56980</v>
      </c>
      <c r="B89" s="4" t="s">
        <v>2312</v>
      </c>
      <c r="C89" s="2">
        <v>46322</v>
      </c>
      <c r="D89" s="1" t="s">
        <v>2676</v>
      </c>
      <c r="E89" s="1" t="s">
        <v>2677</v>
      </c>
      <c r="F89" s="4" t="s">
        <v>2303</v>
      </c>
      <c r="G89" s="4" t="s">
        <v>1969</v>
      </c>
      <c r="H89" s="4" t="s">
        <v>2249</v>
      </c>
      <c r="I89" s="4" t="s">
        <v>2709</v>
      </c>
      <c r="J89" t="s">
        <v>2710</v>
      </c>
      <c r="K89" s="1"/>
      <c r="L89" s="1" t="s">
        <v>2251</v>
      </c>
      <c r="M89" s="1" t="s">
        <v>1969</v>
      </c>
      <c r="N89" s="9">
        <v>46283</v>
      </c>
      <c r="O89" s="9">
        <v>46114</v>
      </c>
      <c r="P89" s="9">
        <v>45922</v>
      </c>
      <c r="Q89" s="9">
        <v>45777</v>
      </c>
      <c r="R89" s="10" t="str">
        <f>HYPERLINK(_xlfn.CONCAT("https://mhmpl.sangamcrm.com/tickets/",Ticket3[[#This Row],[Id]]))</f>
        <v>https://mhmpl.sangamcrm.com/tickets/7a4d3932-68d7-43dc-ae5e-c8596bd15a72</v>
      </c>
      <c r="S89" s="9" t="str">
        <f>_xlfn.CONCAT(Ticket3[[#This Row],[Account Name]]," ",Ticket3[[#This Row],[City]]," ",Ticket3[[#This Row],[Product Name]]," ",Ticket3[[#This Row],[Ticket Type]]," ")</f>
        <v xml:space="preserve">GIRIDHAR EYE INSTITUTE Ernakulam EX500 Service </v>
      </c>
    </row>
    <row r="90" spans="1:19" x14ac:dyDescent="0.25">
      <c r="A90" s="3">
        <v>55383</v>
      </c>
      <c r="B90" s="4" t="s">
        <v>2293</v>
      </c>
      <c r="C90" s="2">
        <v>46289</v>
      </c>
      <c r="D90" s="1" t="s">
        <v>2290</v>
      </c>
      <c r="E90" s="1" t="s">
        <v>2385</v>
      </c>
      <c r="F90" s="4" t="s">
        <v>2288</v>
      </c>
      <c r="G90" s="4" t="s">
        <v>1533</v>
      </c>
      <c r="H90" s="4" t="s">
        <v>2249</v>
      </c>
      <c r="I90" s="4" t="s">
        <v>2386</v>
      </c>
      <c r="J90" t="s">
        <v>2387</v>
      </c>
      <c r="K90" s="1" t="s">
        <v>2257</v>
      </c>
      <c r="L90" s="1" t="s">
        <v>2251</v>
      </c>
      <c r="M90" s="1" t="s">
        <v>1533</v>
      </c>
      <c r="N90" s="9">
        <v>46204</v>
      </c>
      <c r="O90" s="9">
        <v>46163</v>
      </c>
      <c r="P90" s="9">
        <v>46093</v>
      </c>
      <c r="Q90" s="9">
        <v>46093</v>
      </c>
      <c r="R90" s="10" t="str">
        <f>HYPERLINK(_xlfn.CONCAT("https://mhmpl.sangamcrm.com/tickets/",Ticket3[[#This Row],[Id]]))</f>
        <v>https://mhmpl.sangamcrm.com/tickets/939ae84e-a307-4062-826b-de7146868f94</v>
      </c>
      <c r="S90" s="9" t="str">
        <f>_xlfn.CONCAT(Ticket3[[#This Row],[Account Name]]," ",Ticket3[[#This Row],[City]]," ",Ticket3[[#This Row],[Product Name]]," ",Ticket3[[#This Row],[Ticket Type]]," ")</f>
        <v xml:space="preserve">THE EYE FOUNDATION ERODE HS-2522BL Service </v>
      </c>
    </row>
    <row r="91" spans="1:19" x14ac:dyDescent="0.25">
      <c r="A91" s="3">
        <v>50345</v>
      </c>
      <c r="B91" s="4" t="s">
        <v>2364</v>
      </c>
      <c r="C91" s="2">
        <v>46326</v>
      </c>
      <c r="D91" s="1" t="s">
        <v>2388</v>
      </c>
      <c r="E91" s="1" t="s">
        <v>2385</v>
      </c>
      <c r="F91" s="4" t="s">
        <v>2303</v>
      </c>
      <c r="G91" s="4" t="s">
        <v>2008</v>
      </c>
      <c r="H91" s="4" t="s">
        <v>2234</v>
      </c>
      <c r="I91" s="4" t="s">
        <v>2257</v>
      </c>
      <c r="J91" t="s">
        <v>2389</v>
      </c>
      <c r="K91" s="1" t="s">
        <v>2257</v>
      </c>
      <c r="L91" s="1" t="s">
        <v>2283</v>
      </c>
      <c r="M91" s="1" t="s">
        <v>2008</v>
      </c>
      <c r="N91" s="9">
        <v>46133</v>
      </c>
      <c r="O91" s="9">
        <v>45974</v>
      </c>
      <c r="P91" s="9">
        <v>45793</v>
      </c>
      <c r="Q91" s="9">
        <v>45590</v>
      </c>
      <c r="R91" s="10" t="str">
        <f>HYPERLINK(_xlfn.CONCAT("https://mhmpl.sangamcrm.com/tickets/",Ticket3[[#This Row],[Id]]))</f>
        <v>https://mhmpl.sangamcrm.com/tickets/a92ddab5-580b-481e-a0a2-71aa683daec7</v>
      </c>
      <c r="S91" s="9" t="str">
        <f>_xlfn.CONCAT(Ticket3[[#This Row],[Account Name]]," ",Ticket3[[#This Row],[City]]," ",Ticket3[[#This Row],[Product Name]]," ",Ticket3[[#This Row],[Ticket Type]]," ")</f>
        <v xml:space="preserve">K S EYE HOSPITAL ERODE EX500 PMS </v>
      </c>
    </row>
    <row r="92" spans="1:19" x14ac:dyDescent="0.25">
      <c r="A92" s="3">
        <v>42901</v>
      </c>
      <c r="B92" s="4" t="s">
        <v>2230</v>
      </c>
      <c r="C92" s="2">
        <v>46356</v>
      </c>
      <c r="D92" s="1" t="s">
        <v>2771</v>
      </c>
      <c r="E92" s="1" t="s">
        <v>2772</v>
      </c>
      <c r="F92" s="4" t="s">
        <v>2288</v>
      </c>
      <c r="G92" s="4" t="s">
        <v>238</v>
      </c>
      <c r="H92" s="4" t="s">
        <v>2234</v>
      </c>
      <c r="I92" s="4" t="s">
        <v>2242</v>
      </c>
      <c r="J92" t="s">
        <v>2773</v>
      </c>
      <c r="K92" s="1" t="s">
        <v>2244</v>
      </c>
      <c r="L92" s="1" t="s">
        <v>2238</v>
      </c>
      <c r="M92" s="1" t="s">
        <v>238</v>
      </c>
      <c r="N92" s="9">
        <v>46149</v>
      </c>
      <c r="O92" s="9"/>
      <c r="P92" s="9"/>
      <c r="Q92" s="9"/>
      <c r="R92" s="10" t="str">
        <f>HYPERLINK(_xlfn.CONCAT("https://mhmpl.sangamcrm.com/tickets/",Ticket3[[#This Row],[Id]]))</f>
        <v>https://mhmpl.sangamcrm.com/tickets/2bb828ff-ddb6-4ea9-92d9-5cd3574ef59c</v>
      </c>
      <c r="S92" s="9" t="str">
        <f>_xlfn.CONCAT(Ticket3[[#This Row],[Account Name]]," ",Ticket3[[#This Row],[City]]," ",Ticket3[[#This Row],[Product Name]]," ",Ticket3[[#This Row],[Ticket Type]]," ")</f>
        <v xml:space="preserve">Venkateswara Nursing Home Gudivada HS-2522BL PMS </v>
      </c>
    </row>
    <row r="93" spans="1:19" x14ac:dyDescent="0.25">
      <c r="A93" s="3">
        <v>44436</v>
      </c>
      <c r="B93" s="4" t="s">
        <v>2230</v>
      </c>
      <c r="C93" s="2">
        <v>46356</v>
      </c>
      <c r="D93" s="1" t="s">
        <v>2879</v>
      </c>
      <c r="E93" s="1" t="s">
        <v>2880</v>
      </c>
      <c r="F93" s="4" t="s">
        <v>2881</v>
      </c>
      <c r="G93" s="4" t="s">
        <v>1074</v>
      </c>
      <c r="H93" s="4" t="s">
        <v>2234</v>
      </c>
      <c r="I93" s="4" t="s">
        <v>2281</v>
      </c>
      <c r="J93" t="s">
        <v>2882</v>
      </c>
      <c r="K93" s="1" t="s">
        <v>2266</v>
      </c>
      <c r="L93" s="1" t="s">
        <v>2238</v>
      </c>
      <c r="M93" s="1" t="s">
        <v>1074</v>
      </c>
      <c r="N93" s="9">
        <v>46304</v>
      </c>
      <c r="O93" s="9">
        <v>46232</v>
      </c>
      <c r="P93" s="9">
        <v>46115</v>
      </c>
      <c r="Q93" s="9">
        <v>45964</v>
      </c>
      <c r="R93" s="10" t="str">
        <f>HYPERLINK(_xlfn.CONCAT("https://mhmpl.sangamcrm.com/tickets/",Ticket3[[#This Row],[Id]]))</f>
        <v>https://mhmpl.sangamcrm.com/tickets/32f925a9-2954-4889-ac0b-ac5cc5d03add</v>
      </c>
      <c r="S93" s="9" t="str">
        <f>_xlfn.CONCAT(Ticket3[[#This Row],[Account Name]]," ",Ticket3[[#This Row],[City]]," ",Ticket3[[#This Row],[Product Name]]," ",Ticket3[[#This Row],[Ticket Type]]," ")</f>
        <v xml:space="preserve">KAMAL EYE HOSPITAL GULBARGA REVO NX 130 PMS </v>
      </c>
    </row>
    <row r="94" spans="1:19" x14ac:dyDescent="0.25">
      <c r="A94" s="3">
        <v>44748</v>
      </c>
      <c r="B94" s="4" t="s">
        <v>2230</v>
      </c>
      <c r="C94" s="2">
        <v>46356</v>
      </c>
      <c r="D94" s="1" t="s">
        <v>2782</v>
      </c>
      <c r="E94" s="1" t="s">
        <v>2783</v>
      </c>
      <c r="F94" s="4" t="s">
        <v>2286</v>
      </c>
      <c r="G94" s="4" t="s">
        <v>201</v>
      </c>
      <c r="H94" s="4" t="s">
        <v>2234</v>
      </c>
      <c r="I94" s="4" t="s">
        <v>2242</v>
      </c>
      <c r="J94" t="s">
        <v>2784</v>
      </c>
      <c r="K94" s="1" t="s">
        <v>2244</v>
      </c>
      <c r="L94" s="1" t="s">
        <v>2238</v>
      </c>
      <c r="M94" s="1" t="s">
        <v>201</v>
      </c>
      <c r="N94" s="9"/>
      <c r="O94" s="9"/>
      <c r="P94" s="9"/>
      <c r="Q94" s="9"/>
      <c r="R94" s="10" t="str">
        <f>HYPERLINK(_xlfn.CONCAT("https://mhmpl.sangamcrm.com/tickets/",Ticket3[[#This Row],[Id]]))</f>
        <v>https://mhmpl.sangamcrm.com/tickets/118bbb55-2744-457b-bb12-04584c83916b</v>
      </c>
      <c r="S94" s="9" t="str">
        <f>_xlfn.CONCAT(Ticket3[[#This Row],[Account Name]]," ",Ticket3[[#This Row],[City]]," ",Ticket3[[#This Row],[Product Name]]," ",Ticket3[[#This Row],[Ticket Type]]," ")</f>
        <v xml:space="preserve">Tara Eye Care Guntur REVO FC PMS </v>
      </c>
    </row>
    <row r="95" spans="1:19" x14ac:dyDescent="0.25">
      <c r="A95" s="3">
        <v>52217</v>
      </c>
      <c r="B95" s="4" t="s">
        <v>2230</v>
      </c>
      <c r="C95" s="2">
        <v>46356</v>
      </c>
      <c r="D95" s="1" t="s">
        <v>2834</v>
      </c>
      <c r="E95" s="1" t="s">
        <v>2783</v>
      </c>
      <c r="F95" s="4" t="s">
        <v>2233</v>
      </c>
      <c r="G95" s="4" t="s">
        <v>754</v>
      </c>
      <c r="H95" s="4" t="s">
        <v>2234</v>
      </c>
      <c r="I95" s="4" t="s">
        <v>2244</v>
      </c>
      <c r="J95" t="s">
        <v>2835</v>
      </c>
      <c r="K95" s="1" t="s">
        <v>2244</v>
      </c>
      <c r="L95" s="1" t="s">
        <v>2238</v>
      </c>
      <c r="M95" s="1" t="s">
        <v>754</v>
      </c>
      <c r="N95" s="9">
        <v>46055</v>
      </c>
      <c r="O95" s="9">
        <v>45849</v>
      </c>
      <c r="P95" s="9">
        <v>45647</v>
      </c>
      <c r="Q95" s="9">
        <v>45488</v>
      </c>
      <c r="R95" s="10" t="str">
        <f>HYPERLINK(_xlfn.CONCAT("https://mhmpl.sangamcrm.com/tickets/",Ticket3[[#This Row],[Id]]))</f>
        <v>https://mhmpl.sangamcrm.com/tickets/5f4690d1-cfd6-4de3-bf27-6a90ec197667</v>
      </c>
      <c r="S95" s="9" t="str">
        <f>_xlfn.CONCAT(Ticket3[[#This Row],[Account Name]]," ",Ticket3[[#This Row],[City]]," ",Ticket3[[#This Row],[Product Name]]," ",Ticket3[[#This Row],[Ticket Type]]," ")</f>
        <v xml:space="preserve">Visinova Retina Centre Guntur REVO 60 PMS </v>
      </c>
    </row>
    <row r="96" spans="1:19" x14ac:dyDescent="0.25">
      <c r="A96" s="3">
        <v>46206</v>
      </c>
      <c r="B96" s="4" t="s">
        <v>2230</v>
      </c>
      <c r="C96" s="2">
        <v>46326</v>
      </c>
      <c r="D96" s="1" t="s">
        <v>2390</v>
      </c>
      <c r="E96" s="1" t="s">
        <v>2391</v>
      </c>
      <c r="F96" s="4" t="s">
        <v>2286</v>
      </c>
      <c r="G96" s="4" t="s">
        <v>1334</v>
      </c>
      <c r="H96" s="4" t="s">
        <v>2234</v>
      </c>
      <c r="I96" s="4" t="s">
        <v>2271</v>
      </c>
      <c r="J96" t="s">
        <v>2392</v>
      </c>
      <c r="K96" s="1" t="s">
        <v>2266</v>
      </c>
      <c r="L96" s="1" t="s">
        <v>2283</v>
      </c>
      <c r="M96" s="1" t="s">
        <v>1334</v>
      </c>
      <c r="N96" s="9">
        <v>46214</v>
      </c>
      <c r="O96" s="9">
        <v>45844</v>
      </c>
      <c r="P96" s="9">
        <v>45363</v>
      </c>
      <c r="Q96" s="9">
        <v>45177</v>
      </c>
      <c r="R96" s="10" t="str">
        <f>HYPERLINK(_xlfn.CONCAT("https://mhmpl.sangamcrm.com/tickets/",Ticket3[[#This Row],[Id]]))</f>
        <v>https://mhmpl.sangamcrm.com/tickets/7c2960e8-9421-491b-acb5-11166167d894</v>
      </c>
      <c r="S96" s="9" t="str">
        <f>_xlfn.CONCAT(Ticket3[[#This Row],[Account Name]]," ",Ticket3[[#This Row],[City]]," ",Ticket3[[#This Row],[Product Name]]," ",Ticket3[[#This Row],[Ticket Type]]," ")</f>
        <v xml:space="preserve">MM JOSHI EYE INSTITUTE koppal HOSPET REVO FC PMS </v>
      </c>
    </row>
    <row r="97" spans="1:19" x14ac:dyDescent="0.25">
      <c r="A97" s="3">
        <v>47165</v>
      </c>
      <c r="B97" s="4" t="s">
        <v>2230</v>
      </c>
      <c r="C97" s="2">
        <v>46326</v>
      </c>
      <c r="D97" s="1" t="s">
        <v>2393</v>
      </c>
      <c r="E97" s="1" t="s">
        <v>2394</v>
      </c>
      <c r="F97" s="4" t="s">
        <v>2288</v>
      </c>
      <c r="G97" s="4" t="s">
        <v>448</v>
      </c>
      <c r="H97" s="4" t="s">
        <v>2234</v>
      </c>
      <c r="I97" s="4" t="s">
        <v>2271</v>
      </c>
      <c r="J97" t="s">
        <v>2395</v>
      </c>
      <c r="K97" s="1" t="s">
        <v>2266</v>
      </c>
      <c r="L97" s="1" t="s">
        <v>2283</v>
      </c>
      <c r="M97" s="1" t="s">
        <v>448</v>
      </c>
      <c r="N97" s="9">
        <v>46079</v>
      </c>
      <c r="O97" s="9">
        <v>45958</v>
      </c>
      <c r="P97" s="9"/>
      <c r="Q97" s="9"/>
      <c r="R97" s="10" t="str">
        <f>HYPERLINK(_xlfn.CONCAT("https://mhmpl.sangamcrm.com/tickets/",Ticket3[[#This Row],[Id]]))</f>
        <v>https://mhmpl.sangamcrm.com/tickets/d3b0cfcb-f89f-4ea0-8136-0b0e82898f1b</v>
      </c>
      <c r="S97" s="9" t="str">
        <f>_xlfn.CONCAT(Ticket3[[#This Row],[Account Name]]," ",Ticket3[[#This Row],[City]]," ",Ticket3[[#This Row],[Product Name]]," ",Ticket3[[#This Row],[Ticket Type]]," ")</f>
        <v xml:space="preserve">The Eye foundation hosur Hosur HS-2522BL PMS </v>
      </c>
    </row>
    <row r="98" spans="1:19" x14ac:dyDescent="0.25">
      <c r="A98" s="3">
        <v>47756</v>
      </c>
      <c r="B98" s="4" t="s">
        <v>2230</v>
      </c>
      <c r="C98" s="2">
        <v>46326</v>
      </c>
      <c r="D98" s="1" t="s">
        <v>2396</v>
      </c>
      <c r="E98" s="1" t="s">
        <v>2397</v>
      </c>
      <c r="F98" s="4" t="s">
        <v>2275</v>
      </c>
      <c r="G98" s="4" t="s">
        <v>427</v>
      </c>
      <c r="H98" s="4" t="s">
        <v>2234</v>
      </c>
      <c r="I98" s="4" t="s">
        <v>2271</v>
      </c>
      <c r="J98" t="s">
        <v>2398</v>
      </c>
      <c r="K98" s="1" t="s">
        <v>2266</v>
      </c>
      <c r="L98" s="1" t="s">
        <v>2283</v>
      </c>
      <c r="M98" s="1" t="s">
        <v>427</v>
      </c>
      <c r="N98" s="9">
        <v>46134</v>
      </c>
      <c r="O98" s="9">
        <v>45938</v>
      </c>
      <c r="P98" s="9"/>
      <c r="Q98" s="9"/>
      <c r="R98" s="10" t="str">
        <f>HYPERLINK(_xlfn.CONCAT("https://mhmpl.sangamcrm.com/tickets/",Ticket3[[#This Row],[Id]]))</f>
        <v>https://mhmpl.sangamcrm.com/tickets/bc6ff640-32cd-449f-ae47-e016e6b7cf36</v>
      </c>
      <c r="S98" s="9" t="str">
        <f>_xlfn.CONCAT(Ticket3[[#This Row],[Account Name]]," ",Ticket3[[#This Row],[City]]," ",Ticket3[[#This Row],[Product Name]]," ",Ticket3[[#This Row],[Ticket Type]]," ")</f>
        <v xml:space="preserve">Karnataka institute of medical science HUBLI EM-4000 PMS </v>
      </c>
    </row>
    <row r="99" spans="1:19" x14ac:dyDescent="0.25">
      <c r="A99" s="3">
        <v>45653</v>
      </c>
      <c r="B99" s="4" t="s">
        <v>2230</v>
      </c>
      <c r="C99" s="2">
        <v>46356</v>
      </c>
      <c r="D99" s="1" t="s">
        <v>2769</v>
      </c>
      <c r="E99" s="1" t="s">
        <v>2399</v>
      </c>
      <c r="F99" s="4" t="s">
        <v>2275</v>
      </c>
      <c r="G99" s="4" t="s">
        <v>198</v>
      </c>
      <c r="H99" s="4" t="s">
        <v>2234</v>
      </c>
      <c r="I99" s="4" t="s">
        <v>2400</v>
      </c>
      <c r="J99" t="s">
        <v>2770</v>
      </c>
      <c r="K99" s="1" t="s">
        <v>2260</v>
      </c>
      <c r="L99" s="1" t="s">
        <v>2238</v>
      </c>
      <c r="M99" s="1" t="s">
        <v>198</v>
      </c>
      <c r="N99" s="9">
        <v>46231</v>
      </c>
      <c r="O99" s="9"/>
      <c r="P99" s="9"/>
      <c r="Q99" s="9"/>
      <c r="R99" s="10" t="str">
        <f>HYPERLINK(_xlfn.CONCAT("https://mhmpl.sangamcrm.com/tickets/",Ticket3[[#This Row],[Id]]))</f>
        <v>https://mhmpl.sangamcrm.com/tickets/f70f8d0c-6e95-4e2a-b7f9-60b4a1662106</v>
      </c>
      <c r="S99" s="9" t="str">
        <f>_xlfn.CONCAT(Ticket3[[#This Row],[Account Name]]," ",Ticket3[[#This Row],[City]]," ",Ticket3[[#This Row],[Product Name]]," ",Ticket3[[#This Row],[Ticket Type]]," ")</f>
        <v xml:space="preserve">SMART VISION EYE HOSPITAL MAIN BRANCH Hyderabad EM-4000 PMS </v>
      </c>
    </row>
    <row r="100" spans="1:19" x14ac:dyDescent="0.25">
      <c r="A100" s="3">
        <v>43314</v>
      </c>
      <c r="B100" s="4" t="s">
        <v>2230</v>
      </c>
      <c r="C100" s="2">
        <v>46326</v>
      </c>
      <c r="D100" s="1" t="s">
        <v>2401</v>
      </c>
      <c r="E100" s="1" t="s">
        <v>2402</v>
      </c>
      <c r="F100" s="4" t="s">
        <v>2254</v>
      </c>
      <c r="G100" s="4" t="s">
        <v>246</v>
      </c>
      <c r="H100" s="4" t="s">
        <v>2234</v>
      </c>
      <c r="I100" s="4" t="s">
        <v>2400</v>
      </c>
      <c r="J100" t="s">
        <v>2404</v>
      </c>
      <c r="K100" s="1" t="s">
        <v>2260</v>
      </c>
      <c r="L100" s="1" t="s">
        <v>2283</v>
      </c>
      <c r="M100" s="1" t="s">
        <v>246</v>
      </c>
      <c r="N100" s="9">
        <v>46216</v>
      </c>
      <c r="O100" s="9"/>
      <c r="P100" s="9"/>
      <c r="Q100" s="9"/>
      <c r="R100" s="10" t="str">
        <f>HYPERLINK(_xlfn.CONCAT("https://mhmpl.sangamcrm.com/tickets/",Ticket3[[#This Row],[Id]]))</f>
        <v>https://mhmpl.sangamcrm.com/tickets/3e92f775-15ad-4130-ae03-31653ededa11</v>
      </c>
      <c r="S100" s="9" t="str">
        <f>_xlfn.CONCAT(Ticket3[[#This Row],[Account Name]]," ",Ticket3[[#This Row],[City]]," ",Ticket3[[#This Row],[Product Name]]," ",Ticket3[[#This Row],[Ticket Type]]," ")</f>
        <v xml:space="preserve">SRI SHANKARA NETHRALAYA HYDERABAD IDRA FULL PMS </v>
      </c>
    </row>
    <row r="101" spans="1:19" x14ac:dyDescent="0.25">
      <c r="A101" s="3">
        <v>43316</v>
      </c>
      <c r="B101" s="4" t="s">
        <v>2230</v>
      </c>
      <c r="C101" s="2">
        <v>46326</v>
      </c>
      <c r="D101" s="1" t="s">
        <v>2401</v>
      </c>
      <c r="E101" s="1" t="s">
        <v>2402</v>
      </c>
      <c r="F101" s="4" t="s">
        <v>2248</v>
      </c>
      <c r="G101" s="4" t="s">
        <v>244</v>
      </c>
      <c r="H101" s="4" t="s">
        <v>2234</v>
      </c>
      <c r="I101" s="4" t="s">
        <v>2400</v>
      </c>
      <c r="J101" t="s">
        <v>2403</v>
      </c>
      <c r="K101" s="1" t="s">
        <v>2260</v>
      </c>
      <c r="L101" s="1" t="s">
        <v>2283</v>
      </c>
      <c r="M101" s="1" t="s">
        <v>244</v>
      </c>
      <c r="N101" s="9">
        <v>46216</v>
      </c>
      <c r="O101" s="9"/>
      <c r="P101" s="9"/>
      <c r="Q101" s="9"/>
      <c r="R101" s="10" t="str">
        <f>HYPERLINK(_xlfn.CONCAT("https://mhmpl.sangamcrm.com/tickets/",Ticket3[[#This Row],[Id]]))</f>
        <v>https://mhmpl.sangamcrm.com/tickets/35852197-43a4-40a8-9410-eb4ec91c5b35</v>
      </c>
      <c r="S101" s="9" t="str">
        <f>_xlfn.CONCAT(Ticket3[[#This Row],[Account Name]]," ",Ticket3[[#This Row],[City]]," ",Ticket3[[#This Row],[Product Name]]," ",Ticket3[[#This Row],[Ticket Type]]," ")</f>
        <v xml:space="preserve">SRI SHANKARA NETHRALAYA HYDERABAD E-Eye PMS </v>
      </c>
    </row>
    <row r="102" spans="1:19" x14ac:dyDescent="0.25">
      <c r="A102" s="3">
        <v>45655</v>
      </c>
      <c r="B102" s="4" t="s">
        <v>2258</v>
      </c>
      <c r="C102" s="2">
        <v>46356</v>
      </c>
      <c r="D102" s="1" t="s">
        <v>2785</v>
      </c>
      <c r="E102" s="1" t="s">
        <v>2402</v>
      </c>
      <c r="F102" s="4" t="s">
        <v>2284</v>
      </c>
      <c r="G102" s="4" t="s">
        <v>202</v>
      </c>
      <c r="H102" s="4" t="s">
        <v>2234</v>
      </c>
      <c r="I102" s="4" t="s">
        <v>2400</v>
      </c>
      <c r="J102" t="s">
        <v>2786</v>
      </c>
      <c r="K102" s="1" t="s">
        <v>2260</v>
      </c>
      <c r="L102" s="1" t="s">
        <v>2238</v>
      </c>
      <c r="M102" s="1" t="s">
        <v>202</v>
      </c>
      <c r="N102" s="9">
        <v>46171</v>
      </c>
      <c r="O102" s="9"/>
      <c r="P102" s="9"/>
      <c r="Q102" s="9"/>
      <c r="R102" s="10" t="str">
        <f>HYPERLINK(_xlfn.CONCAT("https://mhmpl.sangamcrm.com/tickets/",Ticket3[[#This Row],[Id]]))</f>
        <v>https://mhmpl.sangamcrm.com/tickets/74dd2d2c-9b67-41fc-8f5f-66843614296e</v>
      </c>
      <c r="S102" s="9" t="str">
        <f>_xlfn.CONCAT(Ticket3[[#This Row],[Account Name]]," ",Ticket3[[#This Row],[City]]," ",Ticket3[[#This Row],[Product Name]]," ",Ticket3[[#This Row],[Ticket Type]]," ")</f>
        <v xml:space="preserve">Y KISHAN RAO BALNAGAR LIONS EYE HOSPITAL HYDERABAD OA-2000 PMS </v>
      </c>
    </row>
    <row r="103" spans="1:19" x14ac:dyDescent="0.25">
      <c r="A103" s="3">
        <v>56908</v>
      </c>
      <c r="B103" s="4" t="s">
        <v>2364</v>
      </c>
      <c r="C103" s="2">
        <v>46321</v>
      </c>
      <c r="D103" s="1" t="s">
        <v>2693</v>
      </c>
      <c r="E103" s="1" t="s">
        <v>2399</v>
      </c>
      <c r="F103" s="4" t="s">
        <v>2423</v>
      </c>
      <c r="G103" s="4" t="s">
        <v>280</v>
      </c>
      <c r="H103" s="4" t="s">
        <v>2249</v>
      </c>
      <c r="I103" s="4" t="s">
        <v>2400</v>
      </c>
      <c r="J103" t="s">
        <v>2694</v>
      </c>
      <c r="K103" s="1" t="s">
        <v>2260</v>
      </c>
      <c r="L103" s="1" t="s">
        <v>2251</v>
      </c>
      <c r="M103" s="1" t="s">
        <v>280</v>
      </c>
      <c r="N103" s="9">
        <v>46209</v>
      </c>
      <c r="O103" s="9">
        <v>46087</v>
      </c>
      <c r="P103" s="9"/>
      <c r="Q103" s="9"/>
      <c r="R103" s="10" t="str">
        <f>HYPERLINK(_xlfn.CONCAT("https://mhmpl.sangamcrm.com/tickets/",Ticket3[[#This Row],[Id]]))</f>
        <v>https://mhmpl.sangamcrm.com/tickets/d77da867-6723-487c-a9e2-74d321311b3b</v>
      </c>
      <c r="S103" s="9" t="str">
        <f>_xlfn.CONCAT(Ticket3[[#This Row],[Account Name]]," ",Ticket3[[#This Row],[City]]," ",Ticket3[[#This Row],[Product Name]]," ",Ticket3[[#This Row],[Ticket Type]]," ")</f>
        <v xml:space="preserve">American Laser Eye Hospital(AS Rao nagar) Hyderabad MR-6000 Service </v>
      </c>
    </row>
    <row r="104" spans="1:19" x14ac:dyDescent="0.25">
      <c r="A104" s="3">
        <v>53531</v>
      </c>
      <c r="B104" s="4" t="s">
        <v>2245</v>
      </c>
      <c r="C104" s="2">
        <v>46244</v>
      </c>
      <c r="D104" s="1" t="s">
        <v>2405</v>
      </c>
      <c r="E104" s="1" t="s">
        <v>2402</v>
      </c>
      <c r="F104" s="4" t="s">
        <v>2406</v>
      </c>
      <c r="G104" s="4" t="s">
        <v>346</v>
      </c>
      <c r="H104" s="4" t="s">
        <v>2249</v>
      </c>
      <c r="I104" s="4" t="s">
        <v>2407</v>
      </c>
      <c r="J104" t="s">
        <v>2408</v>
      </c>
      <c r="K104" s="1" t="s">
        <v>2260</v>
      </c>
      <c r="L104" s="1" t="s">
        <v>2251</v>
      </c>
      <c r="M104" s="1" t="s">
        <v>346</v>
      </c>
      <c r="N104" s="9">
        <v>46227</v>
      </c>
      <c r="O104" s="9">
        <v>46036</v>
      </c>
      <c r="P104" s="9"/>
      <c r="Q104" s="9"/>
      <c r="R104" s="10" t="str">
        <f>HYPERLINK(_xlfn.CONCAT("https://mhmpl.sangamcrm.com/tickets/",Ticket3[[#This Row],[Id]]))</f>
        <v>https://mhmpl.sangamcrm.com/tickets/3d3e6020-1b6f-4106-bf57-3ae91ce26fef</v>
      </c>
      <c r="S104" s="9" t="str">
        <f>_xlfn.CONCAT(Ticket3[[#This Row],[Account Name]]," ",Ticket3[[#This Row],[City]]," ",Ticket3[[#This Row],[Product Name]]," ",Ticket3[[#This Row],[Ticket Type]]," ")</f>
        <v xml:space="preserve">L V PRASAD EYE INSTITUTE Hyderabad HYDERABAD CASIA2 Service </v>
      </c>
    </row>
    <row r="105" spans="1:19" x14ac:dyDescent="0.25">
      <c r="A105" s="3">
        <v>42748</v>
      </c>
      <c r="B105" s="4" t="s">
        <v>2230</v>
      </c>
      <c r="C105" s="2">
        <v>46326</v>
      </c>
      <c r="D105" s="1" t="s">
        <v>2411</v>
      </c>
      <c r="E105" s="1" t="s">
        <v>2402</v>
      </c>
      <c r="F105" s="4" t="s">
        <v>2263</v>
      </c>
      <c r="G105" s="4" t="s">
        <v>541</v>
      </c>
      <c r="H105" s="4" t="s">
        <v>2234</v>
      </c>
      <c r="I105" s="4" t="s">
        <v>2407</v>
      </c>
      <c r="J105" t="s">
        <v>2412</v>
      </c>
      <c r="K105" s="1" t="s">
        <v>2260</v>
      </c>
      <c r="L105" s="1" t="s">
        <v>2283</v>
      </c>
      <c r="M105" s="1" t="s">
        <v>541</v>
      </c>
      <c r="N105" s="9">
        <v>46171</v>
      </c>
      <c r="O105" s="9">
        <v>46009</v>
      </c>
      <c r="P105" s="9">
        <v>45853</v>
      </c>
      <c r="Q105" s="9"/>
      <c r="R105" s="10" t="str">
        <f>HYPERLINK(_xlfn.CONCAT("https://mhmpl.sangamcrm.com/tickets/",Ticket3[[#This Row],[Id]]))</f>
        <v>https://mhmpl.sangamcrm.com/tickets/2c3b122f-ed77-426b-8750-1efd7c2ba1ca</v>
      </c>
      <c r="S105" s="9" t="str">
        <f>_xlfn.CONCAT(Ticket3[[#This Row],[Account Name]]," ",Ticket3[[#This Row],[City]]," ",Ticket3[[#This Row],[Product Name]]," ",Ticket3[[#This Row],[Ticket Type]]," ")</f>
        <v xml:space="preserve">PROVISION NETHRA DIAGNOSTICS HYDERABAD MS-39 PMS </v>
      </c>
    </row>
    <row r="106" spans="1:19" x14ac:dyDescent="0.25">
      <c r="A106" s="3">
        <v>56807</v>
      </c>
      <c r="B106" s="4" t="s">
        <v>2230</v>
      </c>
      <c r="C106" s="2">
        <v>46356</v>
      </c>
      <c r="D106" s="1" t="s">
        <v>2422</v>
      </c>
      <c r="E106" s="1" t="s">
        <v>2399</v>
      </c>
      <c r="F106" s="4" t="s">
        <v>2289</v>
      </c>
      <c r="G106" s="4" t="s">
        <v>663</v>
      </c>
      <c r="H106" s="4" t="s">
        <v>2234</v>
      </c>
      <c r="I106" s="4" t="s">
        <v>2400</v>
      </c>
      <c r="J106" t="s">
        <v>2828</v>
      </c>
      <c r="K106" s="1" t="s">
        <v>2260</v>
      </c>
      <c r="L106" s="1" t="s">
        <v>2238</v>
      </c>
      <c r="M106" s="1" t="s">
        <v>663</v>
      </c>
      <c r="N106" s="9">
        <v>46259</v>
      </c>
      <c r="O106" s="9">
        <v>45783</v>
      </c>
      <c r="P106" s="9">
        <v>45603</v>
      </c>
      <c r="Q106" s="9"/>
      <c r="R106" s="10" t="str">
        <f>HYPERLINK(_xlfn.CONCAT("https://mhmpl.sangamcrm.com/tickets/",Ticket3[[#This Row],[Id]]))</f>
        <v>https://mhmpl.sangamcrm.com/tickets/c7d0339d-a548-407b-8592-70a615a08e4c</v>
      </c>
      <c r="S106" s="9" t="str">
        <f>_xlfn.CONCAT(Ticket3[[#This Row],[Account Name]]," ",Ticket3[[#This Row],[City]]," ",Ticket3[[#This Row],[Product Name]]," ",Ticket3[[#This Row],[Ticket Type]]," ")</f>
        <v xml:space="preserve">APOLLO HOSPITALS Hyderabad Hyderabad HS-3041BL PMS </v>
      </c>
    </row>
    <row r="107" spans="1:19" x14ac:dyDescent="0.25">
      <c r="A107" s="3">
        <v>45995</v>
      </c>
      <c r="B107" s="4" t="s">
        <v>2230</v>
      </c>
      <c r="C107" s="2">
        <v>46356</v>
      </c>
      <c r="D107" s="1" t="s">
        <v>2413</v>
      </c>
      <c r="E107" s="1" t="s">
        <v>2399</v>
      </c>
      <c r="F107" s="4" t="s">
        <v>2351</v>
      </c>
      <c r="G107" s="4" t="s">
        <v>780</v>
      </c>
      <c r="H107" s="4" t="s">
        <v>2234</v>
      </c>
      <c r="I107" s="4" t="s">
        <v>2407</v>
      </c>
      <c r="J107" t="s">
        <v>2852</v>
      </c>
      <c r="K107" s="1" t="s">
        <v>2260</v>
      </c>
      <c r="L107" s="1" t="s">
        <v>2238</v>
      </c>
      <c r="M107" s="1" t="s">
        <v>780</v>
      </c>
      <c r="N107" s="9">
        <v>46146</v>
      </c>
      <c r="O107" s="9">
        <v>45967</v>
      </c>
      <c r="P107" s="9">
        <v>45856</v>
      </c>
      <c r="Q107" s="9">
        <v>45532</v>
      </c>
      <c r="R107" s="10" t="str">
        <f>HYPERLINK(_xlfn.CONCAT("https://mhmpl.sangamcrm.com/tickets/",Ticket3[[#This Row],[Id]]))</f>
        <v>https://mhmpl.sangamcrm.com/tickets/4c1824e2-cf53-4dde-b734-32f90637eda8</v>
      </c>
      <c r="S107" s="9" t="str">
        <f>_xlfn.CONCAT(Ticket3[[#This Row],[Account Name]]," ",Ticket3[[#This Row],[City]]," ",Ticket3[[#This Row],[Product Name]]," ",Ticket3[[#This Row],[Ticket Type]]," ")</f>
        <v xml:space="preserve">Ramesh lasik and laser centre suchitra Hyderabad SIRIUS+ PMS </v>
      </c>
    </row>
    <row r="108" spans="1:19" x14ac:dyDescent="0.25">
      <c r="A108" s="3">
        <v>52326</v>
      </c>
      <c r="B108" s="4" t="s">
        <v>2245</v>
      </c>
      <c r="C108" s="2">
        <v>46223</v>
      </c>
      <c r="D108" s="1" t="s">
        <v>2413</v>
      </c>
      <c r="E108" s="1" t="s">
        <v>2399</v>
      </c>
      <c r="F108" s="4" t="s">
        <v>2351</v>
      </c>
      <c r="G108" s="4" t="s">
        <v>780</v>
      </c>
      <c r="H108" s="4" t="s">
        <v>2249</v>
      </c>
      <c r="I108" s="4" t="s">
        <v>2407</v>
      </c>
      <c r="J108" t="s">
        <v>2414</v>
      </c>
      <c r="K108" s="1" t="s">
        <v>2260</v>
      </c>
      <c r="L108" s="1" t="s">
        <v>2251</v>
      </c>
      <c r="M108" s="1" t="s">
        <v>780</v>
      </c>
      <c r="N108" s="9">
        <v>46146</v>
      </c>
      <c r="O108" s="9">
        <v>45967</v>
      </c>
      <c r="P108" s="9">
        <v>45856</v>
      </c>
      <c r="Q108" s="9">
        <v>45532</v>
      </c>
      <c r="R108" s="10" t="str">
        <f>HYPERLINK(_xlfn.CONCAT("https://mhmpl.sangamcrm.com/tickets/",Ticket3[[#This Row],[Id]]))</f>
        <v>https://mhmpl.sangamcrm.com/tickets/4bfd9e23-0eff-4c19-8a52-80cc1ca990e3</v>
      </c>
      <c r="S108" s="9" t="str">
        <f>_xlfn.CONCAT(Ticket3[[#This Row],[Account Name]]," ",Ticket3[[#This Row],[City]]," ",Ticket3[[#This Row],[Product Name]]," ",Ticket3[[#This Row],[Ticket Type]]," ")</f>
        <v xml:space="preserve">Ramesh lasik and laser centre suchitra Hyderabad SIRIUS+ Service </v>
      </c>
    </row>
    <row r="109" spans="1:19" x14ac:dyDescent="0.25">
      <c r="A109" s="3">
        <v>52220</v>
      </c>
      <c r="B109" s="4" t="s">
        <v>2230</v>
      </c>
      <c r="C109" s="2">
        <v>46356</v>
      </c>
      <c r="D109" s="1" t="s">
        <v>2862</v>
      </c>
      <c r="E109" s="1" t="s">
        <v>2399</v>
      </c>
      <c r="F109" s="4" t="s">
        <v>2288</v>
      </c>
      <c r="G109" s="4" t="s">
        <v>929</v>
      </c>
      <c r="H109" s="4" t="s">
        <v>2234</v>
      </c>
      <c r="I109" s="4" t="s">
        <v>2407</v>
      </c>
      <c r="J109" t="s">
        <v>2863</v>
      </c>
      <c r="K109" s="1" t="s">
        <v>2260</v>
      </c>
      <c r="L109" s="1" t="s">
        <v>2238</v>
      </c>
      <c r="M109" s="1" t="s">
        <v>929</v>
      </c>
      <c r="N109" s="9">
        <v>46093</v>
      </c>
      <c r="O109" s="9">
        <v>45926</v>
      </c>
      <c r="P109" s="9">
        <v>45374</v>
      </c>
      <c r="Q109" s="9">
        <v>45258</v>
      </c>
      <c r="R109" s="10" t="str">
        <f>HYPERLINK(_xlfn.CONCAT("https://mhmpl.sangamcrm.com/tickets/",Ticket3[[#This Row],[Id]]))</f>
        <v>https://mhmpl.sangamcrm.com/tickets/b41ddd21-df05-4630-afdf-017a688749b0</v>
      </c>
      <c r="S109" s="9" t="str">
        <f>_xlfn.CONCAT(Ticket3[[#This Row],[Account Name]]," ",Ticket3[[#This Row],[City]]," ",Ticket3[[#This Row],[Product Name]]," ",Ticket3[[#This Row],[Ticket Type]]," ")</f>
        <v xml:space="preserve">Star Hospitals Nanakuramguda Hyderabad HS-2522BL PMS </v>
      </c>
    </row>
    <row r="110" spans="1:19" x14ac:dyDescent="0.25">
      <c r="A110" s="3">
        <v>44446</v>
      </c>
      <c r="B110" s="4" t="s">
        <v>2230</v>
      </c>
      <c r="C110" s="2">
        <v>46356</v>
      </c>
      <c r="D110" s="1" t="s">
        <v>2865</v>
      </c>
      <c r="E110" s="1" t="s">
        <v>2399</v>
      </c>
      <c r="F110" s="4" t="s">
        <v>2559</v>
      </c>
      <c r="G110" s="4" t="s">
        <v>982</v>
      </c>
      <c r="H110" s="4" t="s">
        <v>2234</v>
      </c>
      <c r="I110" s="4" t="s">
        <v>2260</v>
      </c>
      <c r="J110" t="s">
        <v>2866</v>
      </c>
      <c r="K110" s="1" t="s">
        <v>2260</v>
      </c>
      <c r="L110" s="1" t="s">
        <v>2238</v>
      </c>
      <c r="M110" s="1" t="s">
        <v>982</v>
      </c>
      <c r="N110" s="9">
        <v>46168</v>
      </c>
      <c r="O110" s="9">
        <v>45308</v>
      </c>
      <c r="P110" s="9">
        <v>45132</v>
      </c>
      <c r="Q110" s="9"/>
      <c r="R110" s="10" t="str">
        <f>HYPERLINK(_xlfn.CONCAT("https://mhmpl.sangamcrm.com/tickets/",Ticket3[[#This Row],[Id]]))</f>
        <v>https://mhmpl.sangamcrm.com/tickets/38a42ec8-bcb8-4ffb-920e-f972d5bb808a</v>
      </c>
      <c r="S110" s="9" t="str">
        <f>_xlfn.CONCAT(Ticket3[[#This Row],[Account Name]]," ",Ticket3[[#This Row],[City]]," ",Ticket3[[#This Row],[Product Name]]," ",Ticket3[[#This Row],[Ticket Type]]," ")</f>
        <v xml:space="preserve">Orient Eye Hospital Hyderabad Antares+ PMS </v>
      </c>
    </row>
    <row r="111" spans="1:19" x14ac:dyDescent="0.25">
      <c r="A111" s="3">
        <v>53564</v>
      </c>
      <c r="B111" s="4" t="s">
        <v>2230</v>
      </c>
      <c r="C111" s="2">
        <v>46356</v>
      </c>
      <c r="D111" s="1" t="s">
        <v>2888</v>
      </c>
      <c r="E111" s="1" t="s">
        <v>2402</v>
      </c>
      <c r="F111" s="4" t="s">
        <v>2289</v>
      </c>
      <c r="G111" s="4" t="s">
        <v>1126</v>
      </c>
      <c r="H111" s="4" t="s">
        <v>2234</v>
      </c>
      <c r="I111" s="4" t="s">
        <v>2407</v>
      </c>
      <c r="J111" t="s">
        <v>2889</v>
      </c>
      <c r="K111" s="1" t="s">
        <v>2260</v>
      </c>
      <c r="L111" s="1" t="s">
        <v>2238</v>
      </c>
      <c r="M111" s="1" t="s">
        <v>1126</v>
      </c>
      <c r="N111" s="9">
        <v>46138</v>
      </c>
      <c r="O111" s="9">
        <v>46025</v>
      </c>
      <c r="P111" s="9">
        <v>45790</v>
      </c>
      <c r="Q111" s="9">
        <v>45601</v>
      </c>
      <c r="R111" s="10" t="str">
        <f>HYPERLINK(_xlfn.CONCAT("https://mhmpl.sangamcrm.com/tickets/",Ticket3[[#This Row],[Id]]))</f>
        <v>https://mhmpl.sangamcrm.com/tickets/210fe123-cfee-4594-afc0-3ada0f1992f2</v>
      </c>
      <c r="S111" s="9" t="str">
        <f>_xlfn.CONCAT(Ticket3[[#This Row],[Account Name]]," ",Ticket3[[#This Row],[City]]," ",Ticket3[[#This Row],[Product Name]]," ",Ticket3[[#This Row],[Ticket Type]]," ")</f>
        <v xml:space="preserve">RAMESH LASIK &amp; LASER CENTRE HYDERABAD HS-3041BL PMS </v>
      </c>
    </row>
    <row r="112" spans="1:19" x14ac:dyDescent="0.25">
      <c r="A112" s="3">
        <v>48183</v>
      </c>
      <c r="B112" s="4" t="s">
        <v>2230</v>
      </c>
      <c r="C112" s="2">
        <v>46356</v>
      </c>
      <c r="D112" s="1" t="s">
        <v>2892</v>
      </c>
      <c r="E112" s="1" t="s">
        <v>2399</v>
      </c>
      <c r="F112" s="4" t="s">
        <v>2286</v>
      </c>
      <c r="G112" s="4" t="s">
        <v>1191</v>
      </c>
      <c r="H112" s="4" t="s">
        <v>2234</v>
      </c>
      <c r="I112" s="4" t="s">
        <v>2407</v>
      </c>
      <c r="J112" t="s">
        <v>2893</v>
      </c>
      <c r="K112" s="1" t="s">
        <v>2260</v>
      </c>
      <c r="L112" s="1" t="s">
        <v>2238</v>
      </c>
      <c r="M112" s="1" t="s">
        <v>1191</v>
      </c>
      <c r="N112" s="9">
        <v>46178</v>
      </c>
      <c r="O112" s="9">
        <v>46083</v>
      </c>
      <c r="P112" s="9">
        <v>45853</v>
      </c>
      <c r="Q112" s="9">
        <v>44924</v>
      </c>
      <c r="R112" s="10" t="str">
        <f>HYPERLINK(_xlfn.CONCAT("https://mhmpl.sangamcrm.com/tickets/",Ticket3[[#This Row],[Id]]))</f>
        <v>https://mhmpl.sangamcrm.com/tickets/c007bb4c-6497-4884-a4f7-def716e5d9ea</v>
      </c>
      <c r="S112" s="9" t="str">
        <f>_xlfn.CONCAT(Ticket3[[#This Row],[Account Name]]," ",Ticket3[[#This Row],[City]]," ",Ticket3[[#This Row],[Product Name]]," ",Ticket3[[#This Row],[Ticket Type]]," ")</f>
        <v xml:space="preserve">Hyderabad Eye Hospital Hyderabad REVO FC PMS </v>
      </c>
    </row>
    <row r="113" spans="1:19" x14ac:dyDescent="0.25">
      <c r="A113" s="3">
        <v>44452</v>
      </c>
      <c r="B113" s="4" t="s">
        <v>2230</v>
      </c>
      <c r="C113" s="2">
        <v>46356</v>
      </c>
      <c r="D113" s="1" t="s">
        <v>2894</v>
      </c>
      <c r="E113" s="1" t="s">
        <v>2402</v>
      </c>
      <c r="F113" s="4" t="s">
        <v>2284</v>
      </c>
      <c r="G113" s="4" t="s">
        <v>1194</v>
      </c>
      <c r="H113" s="4" t="s">
        <v>2234</v>
      </c>
      <c r="I113" s="4" t="s">
        <v>2260</v>
      </c>
      <c r="J113" t="s">
        <v>2895</v>
      </c>
      <c r="K113" s="1" t="s">
        <v>2260</v>
      </c>
      <c r="L113" s="1" t="s">
        <v>2238</v>
      </c>
      <c r="M113" s="1" t="s">
        <v>1194</v>
      </c>
      <c r="N113" s="9">
        <v>46154</v>
      </c>
      <c r="O113" s="9">
        <v>45539</v>
      </c>
      <c r="P113" s="9">
        <v>45369</v>
      </c>
      <c r="Q113" s="9">
        <v>44907</v>
      </c>
      <c r="R113" s="10" t="str">
        <f>HYPERLINK(_xlfn.CONCAT("https://mhmpl.sangamcrm.com/tickets/",Ticket3[[#This Row],[Id]]))</f>
        <v>https://mhmpl.sangamcrm.com/tickets/1b5fe5d5-5656-4180-8bac-340ca2612a14</v>
      </c>
      <c r="S113" s="9" t="str">
        <f>_xlfn.CONCAT(Ticket3[[#This Row],[Account Name]]," ",Ticket3[[#This Row],[City]]," ",Ticket3[[#This Row],[Product Name]]," ",Ticket3[[#This Row],[Ticket Type]]," ")</f>
        <v xml:space="preserve">PSR EYE HOSPITAL HYDERABAD OA-2000 PMS </v>
      </c>
    </row>
    <row r="114" spans="1:19" x14ac:dyDescent="0.25">
      <c r="A114" s="3">
        <v>52215</v>
      </c>
      <c r="B114" s="4" t="s">
        <v>2230</v>
      </c>
      <c r="C114" s="2">
        <v>46356</v>
      </c>
      <c r="D114" s="1" t="s">
        <v>2914</v>
      </c>
      <c r="E114" s="1" t="s">
        <v>2402</v>
      </c>
      <c r="F114" s="4" t="s">
        <v>2334</v>
      </c>
      <c r="G114" s="4" t="s">
        <v>1376</v>
      </c>
      <c r="H114" s="4" t="s">
        <v>2234</v>
      </c>
      <c r="I114" s="4" t="s">
        <v>2400</v>
      </c>
      <c r="J114" t="s">
        <v>2915</v>
      </c>
      <c r="K114" s="1" t="s">
        <v>2260</v>
      </c>
      <c r="L114" s="1" t="s">
        <v>2238</v>
      </c>
      <c r="M114" s="1" t="s">
        <v>1376</v>
      </c>
      <c r="N114" s="9">
        <v>46170</v>
      </c>
      <c r="O114" s="9">
        <v>46000</v>
      </c>
      <c r="P114" s="9">
        <v>45794</v>
      </c>
      <c r="Q114" s="9">
        <v>45612</v>
      </c>
      <c r="R114" s="10" t="str">
        <f>HYPERLINK(_xlfn.CONCAT("https://mhmpl.sangamcrm.com/tickets/",Ticket3[[#This Row],[Id]]))</f>
        <v>https://mhmpl.sangamcrm.com/tickets/a2167b30-ba80-44b5-8b14-4c1d0a8d1db9</v>
      </c>
      <c r="S114" s="9" t="str">
        <f>_xlfn.CONCAT(Ticket3[[#This Row],[Account Name]]," ",Ticket3[[#This Row],[City]]," ",Ticket3[[#This Row],[Product Name]]," ",Ticket3[[#This Row],[Ticket Type]]," ")</f>
        <v xml:space="preserve">ENVISION LASIK CENTRE HYDERABAD SIRIUS PMS </v>
      </c>
    </row>
    <row r="115" spans="1:19" x14ac:dyDescent="0.25">
      <c r="A115" s="3">
        <v>53346</v>
      </c>
      <c r="B115" s="4" t="s">
        <v>2230</v>
      </c>
      <c r="C115" s="2">
        <v>46356</v>
      </c>
      <c r="D115" s="1" t="s">
        <v>2914</v>
      </c>
      <c r="E115" s="1" t="s">
        <v>2399</v>
      </c>
      <c r="F115" s="4" t="s">
        <v>2303</v>
      </c>
      <c r="G115" s="4" t="s">
        <v>1379</v>
      </c>
      <c r="H115" s="4" t="s">
        <v>2234</v>
      </c>
      <c r="I115" s="4" t="s">
        <v>2407</v>
      </c>
      <c r="J115" t="s">
        <v>2916</v>
      </c>
      <c r="K115" s="1" t="s">
        <v>2260</v>
      </c>
      <c r="L115" s="1" t="s">
        <v>2238</v>
      </c>
      <c r="M115" s="1" t="s">
        <v>1379</v>
      </c>
      <c r="N115" s="9">
        <v>46142</v>
      </c>
      <c r="O115" s="9">
        <v>46008</v>
      </c>
      <c r="P115" s="9">
        <v>45631</v>
      </c>
      <c r="Q115" s="9">
        <v>45409</v>
      </c>
      <c r="R115" s="10" t="str">
        <f>HYPERLINK(_xlfn.CONCAT("https://mhmpl.sangamcrm.com/tickets/",Ticket3[[#This Row],[Id]]))</f>
        <v>https://mhmpl.sangamcrm.com/tickets/002b64a4-19e7-41b5-9b73-ec7966176348</v>
      </c>
      <c r="S115" s="9" t="str">
        <f>_xlfn.CONCAT(Ticket3[[#This Row],[Account Name]]," ",Ticket3[[#This Row],[City]]," ",Ticket3[[#This Row],[Product Name]]," ",Ticket3[[#This Row],[Ticket Type]]," ")</f>
        <v xml:space="preserve">ENVISION LASIK CENTRE Hyderabad EX500 PMS </v>
      </c>
    </row>
    <row r="116" spans="1:19" x14ac:dyDescent="0.25">
      <c r="A116" s="3">
        <v>44450</v>
      </c>
      <c r="B116" s="4" t="s">
        <v>2230</v>
      </c>
      <c r="C116" s="2">
        <v>46356</v>
      </c>
      <c r="D116" s="1" t="s">
        <v>2894</v>
      </c>
      <c r="E116" s="1" t="s">
        <v>2402</v>
      </c>
      <c r="F116" s="4" t="s">
        <v>2289</v>
      </c>
      <c r="G116" s="4" t="s">
        <v>1576</v>
      </c>
      <c r="H116" s="4" t="s">
        <v>2234</v>
      </c>
      <c r="I116" s="4" t="s">
        <v>2407</v>
      </c>
      <c r="J116" t="s">
        <v>2928</v>
      </c>
      <c r="K116" s="1" t="s">
        <v>2260</v>
      </c>
      <c r="L116" s="1" t="s">
        <v>2238</v>
      </c>
      <c r="M116" s="1" t="s">
        <v>1576</v>
      </c>
      <c r="N116" s="9">
        <v>46154</v>
      </c>
      <c r="O116" s="9"/>
      <c r="P116" s="9"/>
      <c r="Q116" s="9"/>
      <c r="R116" s="10" t="str">
        <f>HYPERLINK(_xlfn.CONCAT("https://mhmpl.sangamcrm.com/tickets/",Ticket3[[#This Row],[Id]]))</f>
        <v>https://mhmpl.sangamcrm.com/tickets/94ea2815-1375-4985-a29e-4914f0057931</v>
      </c>
      <c r="S116" s="9" t="str">
        <f>_xlfn.CONCAT(Ticket3[[#This Row],[Account Name]]," ",Ticket3[[#This Row],[City]]," ",Ticket3[[#This Row],[Product Name]]," ",Ticket3[[#This Row],[Ticket Type]]," ")</f>
        <v xml:space="preserve">PSR EYE HOSPITAL HYDERABAD HS-3041BL PMS </v>
      </c>
    </row>
    <row r="117" spans="1:19" x14ac:dyDescent="0.25">
      <c r="A117" s="3">
        <v>57120</v>
      </c>
      <c r="B117" s="4" t="s">
        <v>2258</v>
      </c>
      <c r="C117" s="2">
        <v>46326</v>
      </c>
      <c r="D117" s="1" t="s">
        <v>2985</v>
      </c>
      <c r="E117" s="1" t="s">
        <v>2402</v>
      </c>
      <c r="F117" s="4" t="s">
        <v>2296</v>
      </c>
      <c r="G117" s="4" t="s">
        <v>1672</v>
      </c>
      <c r="H117" s="4" t="s">
        <v>2249</v>
      </c>
      <c r="I117" s="4" t="s">
        <v>2260</v>
      </c>
      <c r="J117" t="s">
        <v>2986</v>
      </c>
      <c r="K117" s="1" t="s">
        <v>2260</v>
      </c>
      <c r="L117" s="1" t="s">
        <v>2283</v>
      </c>
      <c r="M117" s="1" t="s">
        <v>1672</v>
      </c>
      <c r="N117" s="9">
        <v>46296</v>
      </c>
      <c r="O117" s="9">
        <v>46065</v>
      </c>
      <c r="P117" s="9">
        <v>45867</v>
      </c>
      <c r="Q117" s="9">
        <v>45531</v>
      </c>
      <c r="R117" s="10" t="str">
        <f>HYPERLINK(_xlfn.CONCAT("https://mhmpl.sangamcrm.com/tickets/",Ticket3[[#This Row],[Id]]))</f>
        <v>https://mhmpl.sangamcrm.com/tickets/63c6521a-7bb9-4584-b9f2-5fcec211fca3</v>
      </c>
      <c r="S117" s="9" t="str">
        <f>_xlfn.CONCAT(Ticket3[[#This Row],[Account Name]]," ",Ticket3[[#This Row],[City]]," ",Ticket3[[#This Row],[Product Name]]," ",Ticket3[[#This Row],[Ticket Type]]," ")</f>
        <v xml:space="preserve">SREE NETHRALAYA EYE HOSPITAL &amp; LASER CENTRE PVT.LTD. HYDERABAD FS200 Service </v>
      </c>
    </row>
    <row r="118" spans="1:19" x14ac:dyDescent="0.25">
      <c r="A118" s="3">
        <v>44454</v>
      </c>
      <c r="B118" s="4" t="s">
        <v>2230</v>
      </c>
      <c r="C118" s="2">
        <v>46356</v>
      </c>
      <c r="D118" s="1" t="s">
        <v>2894</v>
      </c>
      <c r="E118" s="1" t="s">
        <v>2402</v>
      </c>
      <c r="F118" s="4" t="s">
        <v>2334</v>
      </c>
      <c r="G118" s="4" t="s">
        <v>1717</v>
      </c>
      <c r="H118" s="4" t="s">
        <v>2234</v>
      </c>
      <c r="I118" s="4" t="s">
        <v>2407</v>
      </c>
      <c r="J118" t="s">
        <v>2945</v>
      </c>
      <c r="K118" s="1" t="s">
        <v>2260</v>
      </c>
      <c r="L118" s="1" t="s">
        <v>2238</v>
      </c>
      <c r="M118" s="1" t="s">
        <v>1717</v>
      </c>
      <c r="N118" s="9">
        <v>46154</v>
      </c>
      <c r="O118" s="9"/>
      <c r="P118" s="9"/>
      <c r="Q118" s="9"/>
      <c r="R118" s="10" t="str">
        <f>HYPERLINK(_xlfn.CONCAT("https://mhmpl.sangamcrm.com/tickets/",Ticket3[[#This Row],[Id]]))</f>
        <v>https://mhmpl.sangamcrm.com/tickets/c77dc63c-5000-4675-8b4a-1d6e6dd6ddaf</v>
      </c>
      <c r="S118" s="9" t="str">
        <f>_xlfn.CONCAT(Ticket3[[#This Row],[Account Name]]," ",Ticket3[[#This Row],[City]]," ",Ticket3[[#This Row],[Product Name]]," ",Ticket3[[#This Row],[Ticket Type]]," ")</f>
        <v xml:space="preserve">PSR EYE HOSPITAL HYDERABAD SIRIUS PMS </v>
      </c>
    </row>
    <row r="119" spans="1:19" x14ac:dyDescent="0.25">
      <c r="A119" s="3">
        <v>56803</v>
      </c>
      <c r="B119" s="4" t="s">
        <v>2230</v>
      </c>
      <c r="C119" s="2">
        <v>46356</v>
      </c>
      <c r="D119" s="1" t="s">
        <v>2422</v>
      </c>
      <c r="E119" s="1" t="s">
        <v>2399</v>
      </c>
      <c r="F119" s="4" t="s">
        <v>2935</v>
      </c>
      <c r="G119" s="4" t="s">
        <v>1786</v>
      </c>
      <c r="H119" s="4" t="s">
        <v>2234</v>
      </c>
      <c r="I119" s="4" t="s">
        <v>2400</v>
      </c>
      <c r="J119" t="s">
        <v>2950</v>
      </c>
      <c r="K119" s="1" t="s">
        <v>2260</v>
      </c>
      <c r="L119" s="1" t="s">
        <v>2238</v>
      </c>
      <c r="M119" s="1" t="s">
        <v>1786</v>
      </c>
      <c r="N119" s="9">
        <v>46260</v>
      </c>
      <c r="O119" s="9">
        <v>46060</v>
      </c>
      <c r="P119" s="9">
        <v>45864</v>
      </c>
      <c r="Q119" s="9">
        <v>45693</v>
      </c>
      <c r="R119" s="10" t="str">
        <f>HYPERLINK(_xlfn.CONCAT("https://mhmpl.sangamcrm.com/tickets/",Ticket3[[#This Row],[Id]]))</f>
        <v>https://mhmpl.sangamcrm.com/tickets/544be2f4-b844-4117-bcd9-3a4f92e0917f</v>
      </c>
      <c r="S119" s="9" t="str">
        <f>_xlfn.CONCAT(Ticket3[[#This Row],[Account Name]]," ",Ticket3[[#This Row],[City]]," ",Ticket3[[#This Row],[Product Name]]," ",Ticket3[[#This Row],[Ticket Type]]," ")</f>
        <v xml:space="preserve">APOLLO HOSPITALS Hyderabad Hyderabad SL9900 ELITE PMS </v>
      </c>
    </row>
    <row r="120" spans="1:19" x14ac:dyDescent="0.25">
      <c r="A120" s="3">
        <v>47814</v>
      </c>
      <c r="B120" s="4" t="s">
        <v>2230</v>
      </c>
      <c r="C120" s="2">
        <v>46328</v>
      </c>
      <c r="D120" s="1" t="s">
        <v>2415</v>
      </c>
      <c r="E120" s="1" t="s">
        <v>2399</v>
      </c>
      <c r="F120" s="4" t="s">
        <v>2296</v>
      </c>
      <c r="G120" s="4" t="s">
        <v>1798</v>
      </c>
      <c r="H120" s="4" t="s">
        <v>2234</v>
      </c>
      <c r="I120" s="4" t="s">
        <v>2260</v>
      </c>
      <c r="J120" t="s">
        <v>2416</v>
      </c>
      <c r="K120" s="1" t="s">
        <v>2260</v>
      </c>
      <c r="L120" s="1" t="s">
        <v>2283</v>
      </c>
      <c r="M120" s="1" t="s">
        <v>1798</v>
      </c>
      <c r="N120" s="9">
        <v>46169</v>
      </c>
      <c r="O120" s="9">
        <v>45995</v>
      </c>
      <c r="P120" s="9">
        <v>45631</v>
      </c>
      <c r="Q120" s="9">
        <v>45224</v>
      </c>
      <c r="R120" s="10" t="str">
        <f>HYPERLINK(_xlfn.CONCAT("https://mhmpl.sangamcrm.com/tickets/",Ticket3[[#This Row],[Id]]))</f>
        <v>https://mhmpl.sangamcrm.com/tickets/07a4a6c0-1b0e-4d47-a970-26735e708728</v>
      </c>
      <c r="S120" s="9" t="str">
        <f>_xlfn.CONCAT(Ticket3[[#This Row],[Account Name]]," ",Ticket3[[#This Row],[City]]," ",Ticket3[[#This Row],[Product Name]]," ",Ticket3[[#This Row],[Ticket Type]]," ")</f>
        <v xml:space="preserve">WIN VISION EYE HOSPITALS Hyderabad FS200 PMS </v>
      </c>
    </row>
    <row r="121" spans="1:19" x14ac:dyDescent="0.25">
      <c r="A121" s="3">
        <v>56801</v>
      </c>
      <c r="B121" s="4" t="s">
        <v>2230</v>
      </c>
      <c r="C121" s="2">
        <v>46356</v>
      </c>
      <c r="D121" s="1" t="s">
        <v>2422</v>
      </c>
      <c r="E121" s="1" t="s">
        <v>2399</v>
      </c>
      <c r="F121" s="4" t="s">
        <v>2957</v>
      </c>
      <c r="G121" s="4" t="s">
        <v>1896</v>
      </c>
      <c r="H121" s="4" t="s">
        <v>2234</v>
      </c>
      <c r="I121" s="4" t="s">
        <v>2400</v>
      </c>
      <c r="J121" t="s">
        <v>2958</v>
      </c>
      <c r="K121" s="1" t="s">
        <v>2260</v>
      </c>
      <c r="L121" s="1" t="s">
        <v>2238</v>
      </c>
      <c r="M121" s="1" t="s">
        <v>1896</v>
      </c>
      <c r="N121" s="9">
        <v>46260</v>
      </c>
      <c r="O121" s="9">
        <v>46069</v>
      </c>
      <c r="P121" s="9">
        <v>45889</v>
      </c>
      <c r="Q121" s="9">
        <v>45693</v>
      </c>
      <c r="R121" s="10" t="str">
        <f>HYPERLINK(_xlfn.CONCAT("https://mhmpl.sangamcrm.com/tickets/",Ticket3[[#This Row],[Id]]))</f>
        <v>https://mhmpl.sangamcrm.com/tickets/f8457dda-e449-4164-8067-838cd0468a90</v>
      </c>
      <c r="S121" s="9" t="str">
        <f>_xlfn.CONCAT(Ticket3[[#This Row],[Account Name]]," ",Ticket3[[#This Row],[City]]," ",Ticket3[[#This Row],[Product Name]]," ",Ticket3[[#This Row],[Ticket Type]]," ")</f>
        <v xml:space="preserve">APOLLO HOSPITALS Hyderabad Hyderabad CCL-365 VARIO PMS </v>
      </c>
    </row>
    <row r="122" spans="1:19" x14ac:dyDescent="0.25">
      <c r="A122" s="3">
        <v>56805</v>
      </c>
      <c r="B122" s="4" t="s">
        <v>2230</v>
      </c>
      <c r="C122" s="2">
        <v>46356</v>
      </c>
      <c r="D122" s="1" t="s">
        <v>2422</v>
      </c>
      <c r="E122" s="1" t="s">
        <v>2399</v>
      </c>
      <c r="F122" s="4" t="s">
        <v>2334</v>
      </c>
      <c r="G122" s="4" t="s">
        <v>1894</v>
      </c>
      <c r="H122" s="4" t="s">
        <v>2234</v>
      </c>
      <c r="I122" s="4" t="s">
        <v>2400</v>
      </c>
      <c r="J122" t="s">
        <v>2959</v>
      </c>
      <c r="K122" s="1" t="s">
        <v>2260</v>
      </c>
      <c r="L122" s="1" t="s">
        <v>2238</v>
      </c>
      <c r="M122" s="1" t="s">
        <v>1894</v>
      </c>
      <c r="N122" s="9">
        <v>46238</v>
      </c>
      <c r="O122" s="9">
        <v>46067</v>
      </c>
      <c r="P122" s="9">
        <v>45862</v>
      </c>
      <c r="Q122" s="9">
        <v>45693</v>
      </c>
      <c r="R122" s="10" t="str">
        <f>HYPERLINK(_xlfn.CONCAT("https://mhmpl.sangamcrm.com/tickets/",Ticket3[[#This Row],[Id]]))</f>
        <v>https://mhmpl.sangamcrm.com/tickets/f99103fb-03aa-45bf-81bd-9720f8de0908</v>
      </c>
      <c r="S122" s="9" t="str">
        <f>_xlfn.CONCAT(Ticket3[[#This Row],[Account Name]]," ",Ticket3[[#This Row],[City]]," ",Ticket3[[#This Row],[Product Name]]," ",Ticket3[[#This Row],[Ticket Type]]," ")</f>
        <v xml:space="preserve">APOLLO HOSPITALS Hyderabad Hyderabad SIRIUS PMS </v>
      </c>
    </row>
    <row r="123" spans="1:19" x14ac:dyDescent="0.25">
      <c r="A123" s="3">
        <v>44411</v>
      </c>
      <c r="B123" s="4" t="s">
        <v>2230</v>
      </c>
      <c r="C123" s="2">
        <v>46188</v>
      </c>
      <c r="D123" s="1" t="s">
        <v>2401</v>
      </c>
      <c r="E123" s="1" t="s">
        <v>2402</v>
      </c>
      <c r="F123" s="4" t="s">
        <v>2376</v>
      </c>
      <c r="G123" s="4" t="s">
        <v>1918</v>
      </c>
      <c r="H123" s="4" t="s">
        <v>2234</v>
      </c>
      <c r="I123" s="4" t="s">
        <v>2400</v>
      </c>
      <c r="J123" t="s">
        <v>2417</v>
      </c>
      <c r="K123" s="1" t="s">
        <v>2260</v>
      </c>
      <c r="L123" s="1" t="s">
        <v>2251</v>
      </c>
      <c r="M123" s="1" t="s">
        <v>1918</v>
      </c>
      <c r="N123" s="9">
        <v>45722</v>
      </c>
      <c r="O123" s="9">
        <v>45527</v>
      </c>
      <c r="P123" s="9">
        <v>45374</v>
      </c>
      <c r="Q123" s="9">
        <v>45141</v>
      </c>
      <c r="R123" s="10" t="str">
        <f>HYPERLINK(_xlfn.CONCAT("https://mhmpl.sangamcrm.com/tickets/",Ticket3[[#This Row],[Id]]))</f>
        <v>https://mhmpl.sangamcrm.com/tickets/4e025054-07c4-4300-88ed-a87700fe13af</v>
      </c>
      <c r="S123" s="9" t="str">
        <f>_xlfn.CONCAT(Ticket3[[#This Row],[Account Name]]," ",Ticket3[[#This Row],[City]]," ",Ticket3[[#This Row],[Product Name]]," ",Ticket3[[#This Row],[Ticket Type]]," ")</f>
        <v xml:space="preserve">SRI SHANKARA NETHRALAYA HYDERABAD UV-X 1000 PMS </v>
      </c>
    </row>
    <row r="124" spans="1:19" x14ac:dyDescent="0.25">
      <c r="A124" s="3">
        <v>44412</v>
      </c>
      <c r="B124" s="4" t="s">
        <v>2230</v>
      </c>
      <c r="C124" s="2">
        <v>46326</v>
      </c>
      <c r="D124" s="1" t="s">
        <v>2401</v>
      </c>
      <c r="E124" s="1" t="s">
        <v>2402</v>
      </c>
      <c r="F124" s="4" t="s">
        <v>2376</v>
      </c>
      <c r="G124" s="4" t="s">
        <v>1918</v>
      </c>
      <c r="H124" s="4" t="s">
        <v>2234</v>
      </c>
      <c r="I124" s="4" t="s">
        <v>2260</v>
      </c>
      <c r="J124" t="s">
        <v>2418</v>
      </c>
      <c r="K124" s="1" t="s">
        <v>2260</v>
      </c>
      <c r="L124" s="1" t="s">
        <v>2283</v>
      </c>
      <c r="M124" s="1" t="s">
        <v>1918</v>
      </c>
      <c r="N124" s="9">
        <v>45722</v>
      </c>
      <c r="O124" s="9">
        <v>45527</v>
      </c>
      <c r="P124" s="9">
        <v>45374</v>
      </c>
      <c r="Q124" s="9">
        <v>45141</v>
      </c>
      <c r="R124" s="10" t="str">
        <f>HYPERLINK(_xlfn.CONCAT("https://mhmpl.sangamcrm.com/tickets/",Ticket3[[#This Row],[Id]]))</f>
        <v>https://mhmpl.sangamcrm.com/tickets/377b6b47-bc2a-4c66-bdac-a48db5252bd6</v>
      </c>
      <c r="S124" s="9" t="str">
        <f>_xlfn.CONCAT(Ticket3[[#This Row],[Account Name]]," ",Ticket3[[#This Row],[City]]," ",Ticket3[[#This Row],[Product Name]]," ",Ticket3[[#This Row],[Ticket Type]]," ")</f>
        <v xml:space="preserve">SRI SHANKARA NETHRALAYA HYDERABAD UV-X 1000 PMS </v>
      </c>
    </row>
    <row r="125" spans="1:19" x14ac:dyDescent="0.25">
      <c r="A125" s="3">
        <v>56250</v>
      </c>
      <c r="B125" s="4" t="s">
        <v>2293</v>
      </c>
      <c r="C125" s="2">
        <v>46309</v>
      </c>
      <c r="D125" s="1" t="s">
        <v>2419</v>
      </c>
      <c r="E125" s="1" t="s">
        <v>2399</v>
      </c>
      <c r="F125" s="4" t="s">
        <v>2303</v>
      </c>
      <c r="G125" s="4" t="s">
        <v>2011</v>
      </c>
      <c r="H125" s="4" t="s">
        <v>2249</v>
      </c>
      <c r="I125" s="4" t="s">
        <v>2407</v>
      </c>
      <c r="J125" t="s">
        <v>2420</v>
      </c>
      <c r="K125" s="1" t="s">
        <v>2260</v>
      </c>
      <c r="L125" s="1" t="s">
        <v>2251</v>
      </c>
      <c r="M125" s="1" t="s">
        <v>2011</v>
      </c>
      <c r="N125" s="9">
        <v>46147</v>
      </c>
      <c r="O125" s="9">
        <v>46011</v>
      </c>
      <c r="P125" s="9">
        <v>45827</v>
      </c>
      <c r="Q125" s="9">
        <v>45670</v>
      </c>
      <c r="R125" s="10" t="str">
        <f>HYPERLINK(_xlfn.CONCAT("https://mhmpl.sangamcrm.com/tickets/",Ticket3[[#This Row],[Id]]))</f>
        <v>https://mhmpl.sangamcrm.com/tickets/7a6d3a7e-1357-4244-a982-b71e76844d95</v>
      </c>
      <c r="S125" s="9" t="str">
        <f>_xlfn.CONCAT(Ticket3[[#This Row],[Account Name]]," ",Ticket3[[#This Row],[City]]," ",Ticket3[[#This Row],[Product Name]]," ",Ticket3[[#This Row],[Ticket Type]]," ")</f>
        <v xml:space="preserve">VASAN EYE CARE SECUNDERABAD Hyderabad EX500 Service </v>
      </c>
    </row>
    <row r="126" spans="1:19" x14ac:dyDescent="0.25">
      <c r="A126" s="3">
        <v>56245</v>
      </c>
      <c r="B126" s="4" t="s">
        <v>2293</v>
      </c>
      <c r="C126" s="2">
        <v>46309</v>
      </c>
      <c r="D126" s="1" t="s">
        <v>2419</v>
      </c>
      <c r="E126" s="1" t="s">
        <v>2399</v>
      </c>
      <c r="F126" s="4" t="s">
        <v>2278</v>
      </c>
      <c r="G126" s="4" t="s">
        <v>2032</v>
      </c>
      <c r="H126" s="4" t="s">
        <v>2249</v>
      </c>
      <c r="I126" s="4" t="s">
        <v>2407</v>
      </c>
      <c r="J126" t="s">
        <v>2421</v>
      </c>
      <c r="K126" s="1" t="s">
        <v>2260</v>
      </c>
      <c r="L126" s="1" t="s">
        <v>2251</v>
      </c>
      <c r="M126" s="1" t="s">
        <v>2032</v>
      </c>
      <c r="N126" s="9"/>
      <c r="O126" s="9"/>
      <c r="P126" s="9"/>
      <c r="Q126" s="9"/>
      <c r="R126" s="10" t="str">
        <f>HYPERLINK(_xlfn.CONCAT("https://mhmpl.sangamcrm.com/tickets/",Ticket3[[#This Row],[Id]]))</f>
        <v>https://mhmpl.sangamcrm.com/tickets/ec85f73f-4b70-4ecf-b171-ddb89e307e63</v>
      </c>
      <c r="S126" s="9" t="str">
        <f>_xlfn.CONCAT(Ticket3[[#This Row],[Account Name]]," ",Ticket3[[#This Row],[City]]," ",Ticket3[[#This Row],[Product Name]]," ",Ticket3[[#This Row],[Ticket Type]]," ")</f>
        <v xml:space="preserve">VASAN EYE CARE SECUNDERABAD Hyderabad EVOLUTION 3E Service </v>
      </c>
    </row>
    <row r="127" spans="1:19" x14ac:dyDescent="0.25">
      <c r="A127" s="3">
        <v>54031</v>
      </c>
      <c r="B127" s="4" t="s">
        <v>2329</v>
      </c>
      <c r="C127" s="2">
        <v>46258</v>
      </c>
      <c r="D127" s="1" t="s">
        <v>2422</v>
      </c>
      <c r="E127" s="1" t="s">
        <v>2399</v>
      </c>
      <c r="F127" s="4" t="s">
        <v>2423</v>
      </c>
      <c r="G127" s="4" t="s">
        <v>2424</v>
      </c>
      <c r="H127" s="4" t="s">
        <v>2330</v>
      </c>
      <c r="I127" s="4" t="s">
        <v>2400</v>
      </c>
      <c r="J127" t="s">
        <v>2425</v>
      </c>
      <c r="K127" s="1" t="s">
        <v>2260</v>
      </c>
      <c r="L127" s="1" t="s">
        <v>2251</v>
      </c>
      <c r="M127" s="1"/>
      <c r="N127" s="9"/>
      <c r="O127" s="9"/>
      <c r="P127" s="9"/>
      <c r="Q127" s="9"/>
      <c r="R127" s="10" t="str">
        <f>HYPERLINK(_xlfn.CONCAT("https://mhmpl.sangamcrm.com/tickets/",Ticket3[[#This Row],[Id]]))</f>
        <v>https://mhmpl.sangamcrm.com/tickets/a99920c7-8b34-4728-8082-af2ac8de4947</v>
      </c>
      <c r="S127" s="9" t="str">
        <f>_xlfn.CONCAT(Ticket3[[#This Row],[Account Name]]," ",Ticket3[[#This Row],[City]]," ",Ticket3[[#This Row],[Product Name]]," ",Ticket3[[#This Row],[Ticket Type]]," ")</f>
        <v xml:space="preserve">APOLLO HOSPITALS Hyderabad Hyderabad MR-6000 Installation </v>
      </c>
    </row>
    <row r="128" spans="1:19" x14ac:dyDescent="0.25">
      <c r="A128" s="3">
        <v>45738</v>
      </c>
      <c r="B128" s="4" t="s">
        <v>2230</v>
      </c>
      <c r="C128" s="2">
        <v>46356</v>
      </c>
      <c r="D128" s="1" t="s">
        <v>2405</v>
      </c>
      <c r="E128" s="1" t="s">
        <v>2402</v>
      </c>
      <c r="F128" s="4" t="s">
        <v>2409</v>
      </c>
      <c r="G128" s="4" t="s">
        <v>514</v>
      </c>
      <c r="H128" s="4" t="s">
        <v>2234</v>
      </c>
      <c r="I128" s="4" t="s">
        <v>2400</v>
      </c>
      <c r="J128" t="s">
        <v>2982</v>
      </c>
      <c r="K128" s="1" t="s">
        <v>2260</v>
      </c>
      <c r="L128" s="1" t="s">
        <v>2238</v>
      </c>
      <c r="M128" s="1"/>
      <c r="N128" s="9"/>
      <c r="O128" s="9"/>
      <c r="P128" s="9"/>
      <c r="Q128" s="9"/>
      <c r="R128" s="10" t="str">
        <f>HYPERLINK(_xlfn.CONCAT("https://mhmpl.sangamcrm.com/tickets/",Ticket3[[#This Row],[Id]]))</f>
        <v>https://mhmpl.sangamcrm.com/tickets/fc5bd7f5-9e5c-4259-af79-9ea7a56490ea</v>
      </c>
      <c r="S128" s="9" t="str">
        <f>_xlfn.CONCAT(Ticket3[[#This Row],[Account Name]]," ",Ticket3[[#This Row],[City]]," ",Ticket3[[#This Row],[Product Name]]," ",Ticket3[[#This Row],[Ticket Type]]," ")</f>
        <v xml:space="preserve">L V PRASAD EYE INSTITUTE Hyderabad HYDERABAD PXL PLATINUM 330 PMS </v>
      </c>
    </row>
    <row r="129" spans="1:19" x14ac:dyDescent="0.25">
      <c r="A129" s="3">
        <v>46013</v>
      </c>
      <c r="B129" s="4" t="s">
        <v>2261</v>
      </c>
      <c r="C129" s="2">
        <v>46077</v>
      </c>
      <c r="D129" s="1" t="s">
        <v>2405</v>
      </c>
      <c r="E129" s="1" t="s">
        <v>2402</v>
      </c>
      <c r="F129" s="4" t="s">
        <v>2409</v>
      </c>
      <c r="G129" s="4" t="s">
        <v>514</v>
      </c>
      <c r="H129" s="4" t="s">
        <v>2249</v>
      </c>
      <c r="I129" s="4" t="s">
        <v>2260</v>
      </c>
      <c r="J129" t="s">
        <v>2410</v>
      </c>
      <c r="K129" s="1" t="s">
        <v>2260</v>
      </c>
      <c r="L129" s="1" t="s">
        <v>2251</v>
      </c>
      <c r="M129" s="1"/>
      <c r="N129" s="9"/>
      <c r="O129" s="9"/>
      <c r="P129" s="9"/>
      <c r="Q129" s="9"/>
      <c r="R129" s="10" t="str">
        <f>HYPERLINK(_xlfn.CONCAT("https://mhmpl.sangamcrm.com/tickets/",Ticket3[[#This Row],[Id]]))</f>
        <v>https://mhmpl.sangamcrm.com/tickets/9901a9a8-2bca-4ec5-85b5-0f64e67806dc</v>
      </c>
      <c r="S129" s="9" t="str">
        <f>_xlfn.CONCAT(Ticket3[[#This Row],[Account Name]]," ",Ticket3[[#This Row],[City]]," ",Ticket3[[#This Row],[Product Name]]," ",Ticket3[[#This Row],[Ticket Type]]," ")</f>
        <v xml:space="preserve">L V PRASAD EYE INSTITUTE Hyderabad HYDERABAD PXL PLATINUM 330 Service </v>
      </c>
    </row>
    <row r="130" spans="1:19" x14ac:dyDescent="0.25">
      <c r="A130" s="3">
        <v>48999</v>
      </c>
      <c r="B130" s="4" t="s">
        <v>2230</v>
      </c>
      <c r="C130" s="2">
        <v>46356</v>
      </c>
      <c r="D130" s="1" t="s">
        <v>2869</v>
      </c>
      <c r="E130" s="1" t="s">
        <v>2870</v>
      </c>
      <c r="F130" s="4" t="s">
        <v>2286</v>
      </c>
      <c r="G130" s="4" t="s">
        <v>1012</v>
      </c>
      <c r="H130" s="4" t="s">
        <v>2234</v>
      </c>
      <c r="I130" s="4" t="s">
        <v>2281</v>
      </c>
      <c r="J130" t="s">
        <v>2871</v>
      </c>
      <c r="K130" s="1" t="s">
        <v>2266</v>
      </c>
      <c r="L130" s="1" t="s">
        <v>2238</v>
      </c>
      <c r="M130" s="1" t="s">
        <v>1012</v>
      </c>
      <c r="N130" s="9">
        <v>46149</v>
      </c>
      <c r="O130" s="9">
        <v>46053</v>
      </c>
      <c r="P130" s="9">
        <v>45806</v>
      </c>
      <c r="Q130" s="9">
        <v>45702</v>
      </c>
      <c r="R130" s="10" t="str">
        <f>HYPERLINK(_xlfn.CONCAT("https://mhmpl.sangamcrm.com/tickets/",Ticket3[[#This Row],[Id]]))</f>
        <v>https://mhmpl.sangamcrm.com/tickets/a5b4b595-c18f-4d2d-9358-e77c365cc03c</v>
      </c>
      <c r="S130" s="9" t="str">
        <f>_xlfn.CONCAT(Ticket3[[#This Row],[Account Name]]," ",Ticket3[[#This Row],[City]]," ",Ticket3[[#This Row],[Product Name]]," ",Ticket3[[#This Row],[Ticket Type]]," ")</f>
        <v xml:space="preserve">MM JOSHI EYE INSTITUTE JAMKHANDI Jamkandi REVO FC PMS </v>
      </c>
    </row>
    <row r="131" spans="1:19" x14ac:dyDescent="0.25">
      <c r="A131" s="3">
        <v>52349</v>
      </c>
      <c r="B131" s="4" t="s">
        <v>2230</v>
      </c>
      <c r="C131" s="2">
        <v>46356</v>
      </c>
      <c r="D131" s="1" t="s">
        <v>2875</v>
      </c>
      <c r="E131" s="1" t="s">
        <v>2876</v>
      </c>
      <c r="F131" s="4" t="s">
        <v>2233</v>
      </c>
      <c r="G131" s="4" t="s">
        <v>1025</v>
      </c>
      <c r="H131" s="4" t="s">
        <v>2234</v>
      </c>
      <c r="I131" s="4" t="s">
        <v>2332</v>
      </c>
      <c r="J131" t="s">
        <v>2877</v>
      </c>
      <c r="K131" s="1" t="s">
        <v>2332</v>
      </c>
      <c r="L131" s="1" t="s">
        <v>2238</v>
      </c>
      <c r="M131" s="1" t="s">
        <v>1025</v>
      </c>
      <c r="N131" s="9">
        <v>46270</v>
      </c>
      <c r="O131" s="9">
        <v>46197</v>
      </c>
      <c r="P131" s="9">
        <v>46104</v>
      </c>
      <c r="Q131" s="9">
        <v>45996</v>
      </c>
      <c r="R131" s="10" t="str">
        <f>HYPERLINK(_xlfn.CONCAT("https://mhmpl.sangamcrm.com/tickets/",Ticket3[[#This Row],[Id]]))</f>
        <v>https://mhmpl.sangamcrm.com/tickets/2d123309-8727-4f03-a7b4-5dd4294dcaa8</v>
      </c>
      <c r="S131" s="9" t="str">
        <f>_xlfn.CONCAT(Ticket3[[#This Row],[Account Name]]," ",Ticket3[[#This Row],[City]]," ",Ticket3[[#This Row],[Product Name]]," ",Ticket3[[#This Row],[Ticket Type]]," ")</f>
        <v xml:space="preserve">District Headquarters Hospital KANCHIPURAM REVO 60 PMS </v>
      </c>
    </row>
    <row r="132" spans="1:19" x14ac:dyDescent="0.25">
      <c r="A132" s="3">
        <v>49104</v>
      </c>
      <c r="B132" s="4" t="s">
        <v>2230</v>
      </c>
      <c r="C132" s="2">
        <v>46326</v>
      </c>
      <c r="D132" s="1" t="s">
        <v>2426</v>
      </c>
      <c r="E132" s="1" t="s">
        <v>2427</v>
      </c>
      <c r="F132" s="4" t="s">
        <v>2233</v>
      </c>
      <c r="G132" s="4" t="s">
        <v>941</v>
      </c>
      <c r="H132" s="4" t="s">
        <v>2234</v>
      </c>
      <c r="I132" s="4" t="s">
        <v>2235</v>
      </c>
      <c r="J132" t="s">
        <v>2428</v>
      </c>
      <c r="K132" s="1" t="s">
        <v>2237</v>
      </c>
      <c r="L132" s="1" t="s">
        <v>2283</v>
      </c>
      <c r="M132" s="1" t="s">
        <v>941</v>
      </c>
      <c r="N132" s="9">
        <v>46172</v>
      </c>
      <c r="O132" s="9">
        <v>45892</v>
      </c>
      <c r="P132" s="9">
        <v>45772</v>
      </c>
      <c r="Q132" s="9">
        <v>45563</v>
      </c>
      <c r="R132" s="10" t="str">
        <f>HYPERLINK(_xlfn.CONCAT("https://mhmpl.sangamcrm.com/tickets/",Ticket3[[#This Row],[Id]]))</f>
        <v>https://mhmpl.sangamcrm.com/tickets/18182394-5da1-4da8-b36d-d6ed9c05bc2c</v>
      </c>
      <c r="S132" s="9" t="str">
        <f>_xlfn.CONCAT(Ticket3[[#This Row],[Account Name]]," ",Ticket3[[#This Row],[City]]," ",Ticket3[[#This Row],[Product Name]]," ",Ticket3[[#This Row],[Ticket Type]]," ")</f>
        <v xml:space="preserve">ST JOSEPH EYE HOSPITAL Kanjirappally REVO 60 PMS </v>
      </c>
    </row>
    <row r="133" spans="1:19" x14ac:dyDescent="0.25">
      <c r="A133" s="3">
        <v>46046</v>
      </c>
      <c r="B133" s="4" t="s">
        <v>2230</v>
      </c>
      <c r="C133" s="2">
        <v>46356</v>
      </c>
      <c r="D133" s="1" t="s">
        <v>2439</v>
      </c>
      <c r="E133" s="1" t="s">
        <v>2430</v>
      </c>
      <c r="F133" s="4" t="s">
        <v>2321</v>
      </c>
      <c r="G133" s="4" t="s">
        <v>207</v>
      </c>
      <c r="H133" s="4" t="s">
        <v>2234</v>
      </c>
      <c r="I133" s="4" t="s">
        <v>2235</v>
      </c>
      <c r="J133" t="s">
        <v>2740</v>
      </c>
      <c r="K133" s="1" t="s">
        <v>2237</v>
      </c>
      <c r="L133" s="1" t="s">
        <v>2238</v>
      </c>
      <c r="M133" s="1" t="s">
        <v>207</v>
      </c>
      <c r="N133" s="9">
        <v>46193</v>
      </c>
      <c r="O133" s="9"/>
      <c r="P133" s="9"/>
      <c r="Q133" s="9"/>
      <c r="R133" s="10" t="str">
        <f>HYPERLINK(_xlfn.CONCAT("https://mhmpl.sangamcrm.com/tickets/",Ticket3[[#This Row],[Id]]))</f>
        <v>https://mhmpl.sangamcrm.com/tickets/a506a7af-3c14-4c66-af52-fb552bb6cdd4</v>
      </c>
      <c r="S133" s="9" t="str">
        <f>_xlfn.CONCAT(Ticket3[[#This Row],[Account Name]]," ",Ticket3[[#This Row],[City]]," ",Ticket3[[#This Row],[Product Name]]," ",Ticket3[[#This Row],[Ticket Type]]," ")</f>
        <v xml:space="preserve">DR AGARWALS EYE HOSPITAL KANNUR Pachette 4 PMS </v>
      </c>
    </row>
    <row r="134" spans="1:19" x14ac:dyDescent="0.25">
      <c r="A134" s="3">
        <v>46044</v>
      </c>
      <c r="B134" s="4" t="s">
        <v>2230</v>
      </c>
      <c r="C134" s="2">
        <v>46356</v>
      </c>
      <c r="D134" s="1" t="s">
        <v>2439</v>
      </c>
      <c r="E134" s="1" t="s">
        <v>2430</v>
      </c>
      <c r="F134" s="4" t="s">
        <v>2241</v>
      </c>
      <c r="G134" s="4" t="s">
        <v>209</v>
      </c>
      <c r="H134" s="4" t="s">
        <v>2234</v>
      </c>
      <c r="I134" s="4" t="s">
        <v>2235</v>
      </c>
      <c r="J134" t="s">
        <v>2788</v>
      </c>
      <c r="K134" s="1" t="s">
        <v>2237</v>
      </c>
      <c r="L134" s="1" t="s">
        <v>2238</v>
      </c>
      <c r="M134" s="1" t="s">
        <v>209</v>
      </c>
      <c r="N134" s="9">
        <v>46193</v>
      </c>
      <c r="O134" s="9"/>
      <c r="P134" s="9"/>
      <c r="Q134" s="9"/>
      <c r="R134" s="10" t="str">
        <f>HYPERLINK(_xlfn.CONCAT("https://mhmpl.sangamcrm.com/tickets/",Ticket3[[#This Row],[Id]]))</f>
        <v>https://mhmpl.sangamcrm.com/tickets/c1113719-845c-4be3-ab42-9dadaffc1b15</v>
      </c>
      <c r="S134" s="9" t="str">
        <f>_xlfn.CONCAT(Ticket3[[#This Row],[Account Name]]," ",Ticket3[[#This Row],[City]]," ",Ticket3[[#This Row],[Product Name]]," ",Ticket3[[#This Row],[Ticket Type]]," ")</f>
        <v xml:space="preserve">DR AGARWALS EYE HOSPITAL KANNUR TMS-4N PMS </v>
      </c>
    </row>
    <row r="135" spans="1:19" x14ac:dyDescent="0.25">
      <c r="A135" s="3">
        <v>46050</v>
      </c>
      <c r="B135" s="4" t="s">
        <v>2230</v>
      </c>
      <c r="C135" s="2">
        <v>46356</v>
      </c>
      <c r="D135" s="1" t="s">
        <v>2439</v>
      </c>
      <c r="E135" s="1" t="s">
        <v>2430</v>
      </c>
      <c r="F135" s="4" t="s">
        <v>2286</v>
      </c>
      <c r="G135" s="4" t="s">
        <v>208</v>
      </c>
      <c r="H135" s="4" t="s">
        <v>2234</v>
      </c>
      <c r="I135" s="4" t="s">
        <v>2235</v>
      </c>
      <c r="J135" t="s">
        <v>2789</v>
      </c>
      <c r="K135" s="1" t="s">
        <v>2237</v>
      </c>
      <c r="L135" s="1" t="s">
        <v>2238</v>
      </c>
      <c r="M135" s="1" t="s">
        <v>208</v>
      </c>
      <c r="N135" s="9">
        <v>46193</v>
      </c>
      <c r="O135" s="9"/>
      <c r="P135" s="9"/>
      <c r="Q135" s="9"/>
      <c r="R135" s="10" t="str">
        <f>HYPERLINK(_xlfn.CONCAT("https://mhmpl.sangamcrm.com/tickets/",Ticket3[[#This Row],[Id]]))</f>
        <v>https://mhmpl.sangamcrm.com/tickets/f9042c08-9b2b-4ebb-9256-a84aec6f3845</v>
      </c>
      <c r="S135" s="9" t="str">
        <f>_xlfn.CONCAT(Ticket3[[#This Row],[Account Name]]," ",Ticket3[[#This Row],[City]]," ",Ticket3[[#This Row],[Product Name]]," ",Ticket3[[#This Row],[Ticket Type]]," ")</f>
        <v xml:space="preserve">DR AGARWALS EYE HOSPITAL KANNUR REVO FC PMS </v>
      </c>
    </row>
    <row r="136" spans="1:19" x14ac:dyDescent="0.25">
      <c r="A136" s="3">
        <v>46048</v>
      </c>
      <c r="B136" s="4" t="s">
        <v>2230</v>
      </c>
      <c r="C136" s="2">
        <v>46356</v>
      </c>
      <c r="D136" s="1" t="s">
        <v>2439</v>
      </c>
      <c r="E136" s="1" t="s">
        <v>2430</v>
      </c>
      <c r="F136" s="4" t="s">
        <v>2269</v>
      </c>
      <c r="G136" s="4" t="s">
        <v>210</v>
      </c>
      <c r="H136" s="4" t="s">
        <v>2234</v>
      </c>
      <c r="I136" s="4" t="s">
        <v>2235</v>
      </c>
      <c r="J136" t="s">
        <v>2793</v>
      </c>
      <c r="K136" s="1" t="s">
        <v>2237</v>
      </c>
      <c r="L136" s="1" t="s">
        <v>2238</v>
      </c>
      <c r="M136" s="1" t="s">
        <v>210</v>
      </c>
      <c r="N136" s="9">
        <v>46193</v>
      </c>
      <c r="O136" s="9"/>
      <c r="P136" s="9"/>
      <c r="Q136" s="9"/>
      <c r="R136" s="10" t="str">
        <f>HYPERLINK(_xlfn.CONCAT("https://mhmpl.sangamcrm.com/tickets/",Ticket3[[#This Row],[Id]]))</f>
        <v>https://mhmpl.sangamcrm.com/tickets/7f6d1f40-7db0-4262-94d1-77afe089a8b2</v>
      </c>
      <c r="S136" s="9" t="str">
        <f>_xlfn.CONCAT(Ticket3[[#This Row],[Account Name]]," ",Ticket3[[#This Row],[City]]," ",Ticket3[[#This Row],[Product Name]]," ",Ticket3[[#This Row],[Ticket Type]]," ")</f>
        <v xml:space="preserve">DR AGARWALS EYE HOSPITAL KANNUR DGH 6000 PMS </v>
      </c>
    </row>
    <row r="137" spans="1:19" x14ac:dyDescent="0.25">
      <c r="A137" s="3">
        <v>43582</v>
      </c>
      <c r="B137" s="4" t="s">
        <v>2230</v>
      </c>
      <c r="C137" s="2">
        <v>46326</v>
      </c>
      <c r="D137" s="1" t="s">
        <v>2429</v>
      </c>
      <c r="E137" s="1" t="s">
        <v>2430</v>
      </c>
      <c r="F137" s="4" t="s">
        <v>2286</v>
      </c>
      <c r="G137" s="4" t="s">
        <v>239</v>
      </c>
      <c r="H137" s="4" t="s">
        <v>2234</v>
      </c>
      <c r="I137" s="4" t="s">
        <v>2327</v>
      </c>
      <c r="J137" t="s">
        <v>2431</v>
      </c>
      <c r="K137" s="1" t="s">
        <v>2237</v>
      </c>
      <c r="L137" s="1" t="s">
        <v>2283</v>
      </c>
      <c r="M137" s="1" t="s">
        <v>239</v>
      </c>
      <c r="N137" s="9">
        <v>46130</v>
      </c>
      <c r="O137" s="9"/>
      <c r="P137" s="9"/>
      <c r="Q137" s="9"/>
      <c r="R137" s="10" t="str">
        <f>HYPERLINK(_xlfn.CONCAT("https://mhmpl.sangamcrm.com/tickets/",Ticket3[[#This Row],[Id]]))</f>
        <v>https://mhmpl.sangamcrm.com/tickets/9763d562-0b63-4047-a1d5-9c413d56b194</v>
      </c>
      <c r="S137" s="9" t="str">
        <f>_xlfn.CONCAT(Ticket3[[#This Row],[Account Name]]," ",Ticket3[[#This Row],[City]]," ",Ticket3[[#This Row],[Product Name]]," ",Ticket3[[#This Row],[Ticket Type]]," ")</f>
        <v xml:space="preserve">DR.BHAT'S NETHRAJYOTHI EYE HOSPITAL KANNUR REVO FC PMS </v>
      </c>
    </row>
    <row r="138" spans="1:19" x14ac:dyDescent="0.25">
      <c r="A138" s="3">
        <v>54717</v>
      </c>
      <c r="B138" s="4" t="s">
        <v>2258</v>
      </c>
      <c r="C138" s="2">
        <v>46277</v>
      </c>
      <c r="D138" s="1" t="s">
        <v>2432</v>
      </c>
      <c r="E138" s="1" t="s">
        <v>2433</v>
      </c>
      <c r="F138" s="4" t="s">
        <v>2308</v>
      </c>
      <c r="G138" s="4" t="s">
        <v>714</v>
      </c>
      <c r="H138" s="4" t="s">
        <v>2249</v>
      </c>
      <c r="I138" s="4" t="s">
        <v>2327</v>
      </c>
      <c r="J138" t="s">
        <v>2434</v>
      </c>
      <c r="K138" s="1" t="s">
        <v>2237</v>
      </c>
      <c r="L138" s="1" t="s">
        <v>2251</v>
      </c>
      <c r="M138" s="1" t="s">
        <v>714</v>
      </c>
      <c r="N138" s="9">
        <v>46240</v>
      </c>
      <c r="O138" s="9">
        <v>46116</v>
      </c>
      <c r="P138" s="9">
        <v>45903</v>
      </c>
      <c r="Q138" s="9">
        <v>45701</v>
      </c>
      <c r="R138" s="10" t="str">
        <f>HYPERLINK(_xlfn.CONCAT("https://mhmpl.sangamcrm.com/tickets/",Ticket3[[#This Row],[Id]]))</f>
        <v>https://mhmpl.sangamcrm.com/tickets/8838c18e-70c0-4cb7-a632-3a083b25048c</v>
      </c>
      <c r="S138" s="9" t="str">
        <f>_xlfn.CONCAT(Ticket3[[#This Row],[Account Name]]," ",Ticket3[[#This Row],[City]]," ",Ticket3[[#This Row],[Product Name]]," ",Ticket3[[#This Row],[Ticket Type]]," ")</f>
        <v xml:space="preserve">AHALIA FOUNDATION EYE HOSPITAL Kannur PTS 2000 Service </v>
      </c>
    </row>
    <row r="139" spans="1:19" x14ac:dyDescent="0.25">
      <c r="A139" s="3">
        <v>51259</v>
      </c>
      <c r="B139" s="4" t="s">
        <v>2230</v>
      </c>
      <c r="C139" s="2">
        <v>46356</v>
      </c>
      <c r="D139" s="1" t="s">
        <v>2859</v>
      </c>
      <c r="E139" s="1" t="s">
        <v>2860</v>
      </c>
      <c r="F139" s="4" t="s">
        <v>2286</v>
      </c>
      <c r="G139" s="4" t="s">
        <v>924</v>
      </c>
      <c r="H139" s="4" t="s">
        <v>2234</v>
      </c>
      <c r="I139" s="4" t="s">
        <v>2332</v>
      </c>
      <c r="J139" t="s">
        <v>2861</v>
      </c>
      <c r="K139" s="1" t="s">
        <v>2332</v>
      </c>
      <c r="L139" s="1" t="s">
        <v>2238</v>
      </c>
      <c r="M139" s="1" t="s">
        <v>924</v>
      </c>
      <c r="N139" s="9">
        <v>46162</v>
      </c>
      <c r="O139" s="9">
        <v>45983</v>
      </c>
      <c r="P139" s="9">
        <v>45785</v>
      </c>
      <c r="Q139" s="9">
        <v>45604</v>
      </c>
      <c r="R139" s="10" t="str">
        <f>HYPERLINK(_xlfn.CONCAT("https://mhmpl.sangamcrm.com/tickets/",Ticket3[[#This Row],[Id]]))</f>
        <v>https://mhmpl.sangamcrm.com/tickets/d690a056-b7eb-419a-bf97-ce64aadce674</v>
      </c>
      <c r="S139" s="9" t="str">
        <f>_xlfn.CONCAT(Ticket3[[#This Row],[Account Name]]," ",Ticket3[[#This Row],[City]]," ",Ticket3[[#This Row],[Product Name]]," ",Ticket3[[#This Row],[Ticket Type]]," ")</f>
        <v xml:space="preserve">Meenakshi eye care Karaikal REVO FC PMS </v>
      </c>
    </row>
    <row r="140" spans="1:19" x14ac:dyDescent="0.25">
      <c r="A140" s="3">
        <v>52650</v>
      </c>
      <c r="B140" s="4" t="s">
        <v>2230</v>
      </c>
      <c r="C140" s="2">
        <v>46356</v>
      </c>
      <c r="D140" s="1" t="s">
        <v>2719</v>
      </c>
      <c r="E140" s="1" t="s">
        <v>2720</v>
      </c>
      <c r="F140" s="4" t="s">
        <v>2269</v>
      </c>
      <c r="G140" s="4" t="s">
        <v>58</v>
      </c>
      <c r="H140" s="4" t="s">
        <v>2234</v>
      </c>
      <c r="I140" s="4" t="s">
        <v>2235</v>
      </c>
      <c r="J140" t="s">
        <v>2721</v>
      </c>
      <c r="K140" s="1" t="s">
        <v>2237</v>
      </c>
      <c r="L140" s="1" t="s">
        <v>2238</v>
      </c>
      <c r="M140" s="1" t="s">
        <v>58</v>
      </c>
      <c r="N140" s="9"/>
      <c r="O140" s="9"/>
      <c r="P140" s="9"/>
      <c r="Q140" s="9"/>
      <c r="R140" s="10" t="str">
        <f>HYPERLINK(_xlfn.CONCAT("https://mhmpl.sangamcrm.com/tickets/",Ticket3[[#This Row],[Id]]))</f>
        <v>https://mhmpl.sangamcrm.com/tickets/fd3e2912-a8fa-4cca-8392-e7e15177e930</v>
      </c>
      <c r="S140" s="9" t="str">
        <f>_xlfn.CONCAT(Ticket3[[#This Row],[Account Name]]," ",Ticket3[[#This Row],[City]]," ",Ticket3[[#This Row],[Product Name]]," ",Ticket3[[#This Row],[Ticket Type]]," ")</f>
        <v xml:space="preserve">Lily Eye Institute(A unit of Clarividus OPC Private Limited) Karunagapally DGH 6000 PMS </v>
      </c>
    </row>
    <row r="141" spans="1:19" x14ac:dyDescent="0.25">
      <c r="A141" s="3">
        <v>52648</v>
      </c>
      <c r="B141" s="4" t="s">
        <v>2230</v>
      </c>
      <c r="C141" s="2">
        <v>46356</v>
      </c>
      <c r="D141" s="1" t="s">
        <v>2719</v>
      </c>
      <c r="E141" s="1" t="s">
        <v>2720</v>
      </c>
      <c r="F141" s="4" t="s">
        <v>2308</v>
      </c>
      <c r="G141" s="4" t="s">
        <v>57</v>
      </c>
      <c r="H141" s="4" t="s">
        <v>2234</v>
      </c>
      <c r="I141" s="4" t="s">
        <v>2235</v>
      </c>
      <c r="J141" t="s">
        <v>2748</v>
      </c>
      <c r="K141" s="1" t="s">
        <v>2237</v>
      </c>
      <c r="L141" s="1" t="s">
        <v>2238</v>
      </c>
      <c r="M141" s="1" t="s">
        <v>57</v>
      </c>
      <c r="N141" s="9"/>
      <c r="O141" s="9"/>
      <c r="P141" s="9"/>
      <c r="Q141" s="9"/>
      <c r="R141" s="10" t="str">
        <f>HYPERLINK(_xlfn.CONCAT("https://mhmpl.sangamcrm.com/tickets/",Ticket3[[#This Row],[Id]]))</f>
        <v>https://mhmpl.sangamcrm.com/tickets/e327839b-1cb8-4733-a93d-c0e88ecff7f5</v>
      </c>
      <c r="S141" s="9" t="str">
        <f>_xlfn.CONCAT(Ticket3[[#This Row],[Account Name]]," ",Ticket3[[#This Row],[City]]," ",Ticket3[[#This Row],[Product Name]]," ",Ticket3[[#This Row],[Ticket Type]]," ")</f>
        <v xml:space="preserve">Lily Eye Institute(A unit of Clarividus OPC Private Limited) Karunagapally PTS 2000 PMS </v>
      </c>
    </row>
    <row r="142" spans="1:19" x14ac:dyDescent="0.25">
      <c r="A142" s="3">
        <v>43930</v>
      </c>
      <c r="B142" s="4" t="s">
        <v>2230</v>
      </c>
      <c r="C142" s="2">
        <v>46356</v>
      </c>
      <c r="D142" s="1" t="s">
        <v>2730</v>
      </c>
      <c r="E142" s="1" t="s">
        <v>2731</v>
      </c>
      <c r="F142" s="4" t="s">
        <v>2303</v>
      </c>
      <c r="G142" s="4" t="s">
        <v>216</v>
      </c>
      <c r="H142" s="4" t="s">
        <v>2234</v>
      </c>
      <c r="I142" s="4" t="s">
        <v>2257</v>
      </c>
      <c r="J142" t="s">
        <v>2732</v>
      </c>
      <c r="K142" s="1" t="s">
        <v>2257</v>
      </c>
      <c r="L142" s="1" t="s">
        <v>2238</v>
      </c>
      <c r="M142" s="1" t="s">
        <v>216</v>
      </c>
      <c r="N142" s="9">
        <v>46169</v>
      </c>
      <c r="O142" s="9"/>
      <c r="P142" s="9"/>
      <c r="Q142" s="9"/>
      <c r="R142" s="10" t="str">
        <f>HYPERLINK(_xlfn.CONCAT("https://mhmpl.sangamcrm.com/tickets/",Ticket3[[#This Row],[Id]]))</f>
        <v>https://mhmpl.sangamcrm.com/tickets/f03bdc16-56d6-4f6b-9885-7118fb4eb6e1</v>
      </c>
      <c r="S142" s="9" t="str">
        <f>_xlfn.CONCAT(Ticket3[[#This Row],[Account Name]]," ",Ticket3[[#This Row],[City]]," ",Ticket3[[#This Row],[Product Name]]," ",Ticket3[[#This Row],[Ticket Type]]," ")</f>
        <v xml:space="preserve">SOMASUNDARAM EYE HOSPITAL Karur EX500 PMS </v>
      </c>
    </row>
    <row r="143" spans="1:19" x14ac:dyDescent="0.25">
      <c r="A143" s="3">
        <v>48245</v>
      </c>
      <c r="B143" s="4" t="s">
        <v>2230</v>
      </c>
      <c r="C143" s="2">
        <v>46326</v>
      </c>
      <c r="D143" s="1" t="s">
        <v>2435</v>
      </c>
      <c r="E143" s="1" t="s">
        <v>2436</v>
      </c>
      <c r="F143" s="4" t="s">
        <v>2321</v>
      </c>
      <c r="G143" s="4" t="s">
        <v>419</v>
      </c>
      <c r="H143" s="4" t="s">
        <v>2234</v>
      </c>
      <c r="I143" s="4" t="s">
        <v>2235</v>
      </c>
      <c r="J143" t="s">
        <v>2437</v>
      </c>
      <c r="K143" s="1" t="s">
        <v>2237</v>
      </c>
      <c r="L143" s="1" t="s">
        <v>2283</v>
      </c>
      <c r="M143" s="1" t="s">
        <v>419</v>
      </c>
      <c r="N143" s="9">
        <v>46073</v>
      </c>
      <c r="O143" s="9"/>
      <c r="P143" s="9"/>
      <c r="Q143" s="9"/>
      <c r="R143" s="10" t="str">
        <f>HYPERLINK(_xlfn.CONCAT("https://mhmpl.sangamcrm.com/tickets/",Ticket3[[#This Row],[Id]]))</f>
        <v>https://mhmpl.sangamcrm.com/tickets/998d0288-5420-4dad-ba9e-5ca029dd0f3a</v>
      </c>
      <c r="S143" s="9" t="str">
        <f>_xlfn.CONCAT(Ticket3[[#This Row],[Account Name]]," ",Ticket3[[#This Row],[City]]," ",Ticket3[[#This Row],[Product Name]]," ",Ticket3[[#This Row],[Ticket Type]]," ")</f>
        <v xml:space="preserve">DIRECTORATE OF HEALTH SERVICES(LAKSHADWEEP) KAVARATTI Pachette 4 PMS </v>
      </c>
    </row>
    <row r="144" spans="1:19" x14ac:dyDescent="0.25">
      <c r="A144" s="3">
        <v>37525</v>
      </c>
      <c r="B144" s="4" t="s">
        <v>2230</v>
      </c>
      <c r="C144" s="2">
        <v>46326</v>
      </c>
      <c r="D144" s="1" t="s">
        <v>2435</v>
      </c>
      <c r="E144" s="1" t="s">
        <v>2436</v>
      </c>
      <c r="F144" s="4" t="s">
        <v>2321</v>
      </c>
      <c r="G144" s="4" t="s">
        <v>419</v>
      </c>
      <c r="H144" s="4" t="s">
        <v>2234</v>
      </c>
      <c r="I144" s="4" t="s">
        <v>2237</v>
      </c>
      <c r="J144" t="s">
        <v>2438</v>
      </c>
      <c r="K144" s="1" t="s">
        <v>2237</v>
      </c>
      <c r="L144" s="1" t="s">
        <v>2283</v>
      </c>
      <c r="M144" s="1" t="s">
        <v>419</v>
      </c>
      <c r="N144" s="9">
        <v>46073</v>
      </c>
      <c r="O144" s="9"/>
      <c r="P144" s="9"/>
      <c r="Q144" s="9"/>
      <c r="R144" s="10" t="str">
        <f>HYPERLINK(_xlfn.CONCAT("https://mhmpl.sangamcrm.com/tickets/",Ticket3[[#This Row],[Id]]))</f>
        <v>https://mhmpl.sangamcrm.com/tickets/18b9f91c-9b93-489f-8de1-f557bff25e47</v>
      </c>
      <c r="S144" s="9" t="str">
        <f>_xlfn.CONCAT(Ticket3[[#This Row],[Account Name]]," ",Ticket3[[#This Row],[City]]," ",Ticket3[[#This Row],[Product Name]]," ",Ticket3[[#This Row],[Ticket Type]]," ")</f>
        <v xml:space="preserve">DIRECTORATE OF HEALTH SERVICES(LAKSHADWEEP) KAVARATTI Pachette 4 PMS </v>
      </c>
    </row>
    <row r="145" spans="1:19" x14ac:dyDescent="0.25">
      <c r="A145" s="3">
        <v>44181</v>
      </c>
      <c r="B145" s="4" t="s">
        <v>2230</v>
      </c>
      <c r="C145" s="2">
        <v>46356</v>
      </c>
      <c r="D145" s="1" t="s">
        <v>2576</v>
      </c>
      <c r="E145" s="1" t="s">
        <v>2801</v>
      </c>
      <c r="F145" s="4" t="s">
        <v>2288</v>
      </c>
      <c r="G145" s="4" t="s">
        <v>220</v>
      </c>
      <c r="H145" s="4" t="s">
        <v>2234</v>
      </c>
      <c r="I145" s="4" t="s">
        <v>2235</v>
      </c>
      <c r="J145" t="s">
        <v>2802</v>
      </c>
      <c r="K145" s="1" t="s">
        <v>2237</v>
      </c>
      <c r="L145" s="1" t="s">
        <v>2238</v>
      </c>
      <c r="M145" s="1" t="s">
        <v>220</v>
      </c>
      <c r="N145" s="9">
        <v>46231</v>
      </c>
      <c r="O145" s="9"/>
      <c r="P145" s="9"/>
      <c r="Q145" s="9"/>
      <c r="R145" s="10" t="str">
        <f>HYPERLINK(_xlfn.CONCAT("https://mhmpl.sangamcrm.com/tickets/",Ticket3[[#This Row],[Id]]))</f>
        <v>https://mhmpl.sangamcrm.com/tickets/380b6004-f21f-426b-beb8-0d2dd9de353e</v>
      </c>
      <c r="S145" s="9" t="str">
        <f>_xlfn.CONCAT(Ticket3[[#This Row],[Account Name]]," ",Ticket3[[#This Row],[City]]," ",Ticket3[[#This Row],[Product Name]]," ",Ticket3[[#This Row],[Ticket Type]]," ")</f>
        <v xml:space="preserve">CHAITHANYA EYE HOSPITAL &amp; RESEARCH CENTRE Kayamkulam HS-2522BL PMS </v>
      </c>
    </row>
    <row r="146" spans="1:19" x14ac:dyDescent="0.25">
      <c r="A146" s="3">
        <v>40861</v>
      </c>
      <c r="B146" s="4" t="s">
        <v>2230</v>
      </c>
      <c r="C146" s="2">
        <v>46326</v>
      </c>
      <c r="D146" s="1" t="s">
        <v>2439</v>
      </c>
      <c r="E146" s="1" t="s">
        <v>2440</v>
      </c>
      <c r="F146" s="4" t="s">
        <v>2278</v>
      </c>
      <c r="G146" s="4" t="s">
        <v>716</v>
      </c>
      <c r="H146" s="4" t="s">
        <v>2234</v>
      </c>
      <c r="I146" s="4" t="s">
        <v>2237</v>
      </c>
      <c r="J146" t="s">
        <v>2441</v>
      </c>
      <c r="K146" s="1" t="s">
        <v>2237</v>
      </c>
      <c r="L146" s="1" t="s">
        <v>2283</v>
      </c>
      <c r="M146" s="1" t="s">
        <v>716</v>
      </c>
      <c r="N146" s="9">
        <v>46101</v>
      </c>
      <c r="O146" s="9">
        <v>45938</v>
      </c>
      <c r="P146" s="9">
        <v>45717</v>
      </c>
      <c r="Q146" s="9">
        <v>45521</v>
      </c>
      <c r="R146" s="10" t="str">
        <f>HYPERLINK(_xlfn.CONCAT("https://mhmpl.sangamcrm.com/tickets/",Ticket3[[#This Row],[Id]]))</f>
        <v>https://mhmpl.sangamcrm.com/tickets/de6d1893-623b-4fc0-b861-ee8b43550a5b</v>
      </c>
      <c r="S146" s="9" t="str">
        <f>_xlfn.CONCAT(Ticket3[[#This Row],[Account Name]]," ",Ticket3[[#This Row],[City]]," ",Ticket3[[#This Row],[Product Name]]," ",Ticket3[[#This Row],[Ticket Type]]," ")</f>
        <v xml:space="preserve">DR AGARWALS EYE HOSPITAL Kochi EVOLUTION 3E PMS </v>
      </c>
    </row>
    <row r="147" spans="1:19" x14ac:dyDescent="0.25">
      <c r="A147" s="3">
        <v>46014</v>
      </c>
      <c r="B147" s="4" t="s">
        <v>2261</v>
      </c>
      <c r="C147" s="2">
        <v>46076</v>
      </c>
      <c r="D147" s="1" t="s">
        <v>2432</v>
      </c>
      <c r="E147" s="1" t="s">
        <v>2442</v>
      </c>
      <c r="F147" s="4" t="s">
        <v>2351</v>
      </c>
      <c r="G147" s="4" t="s">
        <v>1243</v>
      </c>
      <c r="H147" s="4" t="s">
        <v>2249</v>
      </c>
      <c r="I147" s="4" t="s">
        <v>2235</v>
      </c>
      <c r="J147" t="s">
        <v>2443</v>
      </c>
      <c r="K147" s="1" t="s">
        <v>2237</v>
      </c>
      <c r="L147" s="1" t="s">
        <v>2251</v>
      </c>
      <c r="M147" s="1" t="s">
        <v>1243</v>
      </c>
      <c r="N147" s="9">
        <v>46232</v>
      </c>
      <c r="O147" s="9">
        <v>45990</v>
      </c>
      <c r="P147" s="9">
        <v>45780</v>
      </c>
      <c r="Q147" s="9">
        <v>45467</v>
      </c>
      <c r="R147" s="10" t="str">
        <f>HYPERLINK(_xlfn.CONCAT("https://mhmpl.sangamcrm.com/tickets/",Ticket3[[#This Row],[Id]]))</f>
        <v>https://mhmpl.sangamcrm.com/tickets/6a890d35-d1f4-4539-bb39-d2888b1cb006</v>
      </c>
      <c r="S147" s="9" t="str">
        <f>_xlfn.CONCAT(Ticket3[[#This Row],[Account Name]]," ",Ticket3[[#This Row],[City]]," ",Ticket3[[#This Row],[Product Name]]," ",Ticket3[[#This Row],[Ticket Type]]," ")</f>
        <v xml:space="preserve">AHALIA FOUNDATION EYE HOSPITAL KOCHI SIRIUS+ Service </v>
      </c>
    </row>
    <row r="148" spans="1:19" x14ac:dyDescent="0.25">
      <c r="A148" s="3">
        <v>51560</v>
      </c>
      <c r="B148" s="4" t="s">
        <v>2230</v>
      </c>
      <c r="C148" s="2">
        <v>46326</v>
      </c>
      <c r="D148" s="1" t="s">
        <v>2444</v>
      </c>
      <c r="E148" s="1" t="s">
        <v>2442</v>
      </c>
      <c r="F148" s="4" t="s">
        <v>2351</v>
      </c>
      <c r="G148" s="4" t="s">
        <v>1270</v>
      </c>
      <c r="H148" s="4" t="s">
        <v>2234</v>
      </c>
      <c r="I148" s="4" t="s">
        <v>2235</v>
      </c>
      <c r="J148" t="s">
        <v>2445</v>
      </c>
      <c r="K148" s="1" t="s">
        <v>2237</v>
      </c>
      <c r="L148" s="1" t="s">
        <v>2283</v>
      </c>
      <c r="M148" s="1" t="s">
        <v>1270</v>
      </c>
      <c r="N148" s="9">
        <v>46272</v>
      </c>
      <c r="O148" s="9">
        <v>46188</v>
      </c>
      <c r="P148" s="9">
        <v>46094</v>
      </c>
      <c r="Q148" s="9">
        <v>45982</v>
      </c>
      <c r="R148" s="10" t="str">
        <f>HYPERLINK(_xlfn.CONCAT("https://mhmpl.sangamcrm.com/tickets/",Ticket3[[#This Row],[Id]]))</f>
        <v>https://mhmpl.sangamcrm.com/tickets/fe0f2f27-7bee-40f9-a1db-1fecbd71f552</v>
      </c>
      <c r="S148" s="9" t="str">
        <f>_xlfn.CONCAT(Ticket3[[#This Row],[Account Name]]," ",Ticket3[[#This Row],[City]]," ",Ticket3[[#This Row],[Product Name]]," ",Ticket3[[#This Row],[Ticket Type]]," ")</f>
        <v xml:space="preserve">INHS Sanjeevani KOCHI SIRIUS+ PMS </v>
      </c>
    </row>
    <row r="149" spans="1:19" x14ac:dyDescent="0.25">
      <c r="A149" s="3">
        <v>45057</v>
      </c>
      <c r="B149" s="4" t="s">
        <v>2230</v>
      </c>
      <c r="C149" s="2">
        <v>46356</v>
      </c>
      <c r="D149" s="1" t="s">
        <v>2907</v>
      </c>
      <c r="E149" s="1" t="s">
        <v>2442</v>
      </c>
      <c r="F149" s="4" t="s">
        <v>2284</v>
      </c>
      <c r="G149" s="4" t="s">
        <v>1356</v>
      </c>
      <c r="H149" s="4" t="s">
        <v>2234</v>
      </c>
      <c r="I149" s="4" t="s">
        <v>2235</v>
      </c>
      <c r="J149" t="s">
        <v>2908</v>
      </c>
      <c r="K149" s="1" t="s">
        <v>2237</v>
      </c>
      <c r="L149" s="1" t="s">
        <v>2238</v>
      </c>
      <c r="M149" s="1" t="s">
        <v>1356</v>
      </c>
      <c r="N149" s="9">
        <v>46228</v>
      </c>
      <c r="O149" s="9">
        <v>45527</v>
      </c>
      <c r="P149" s="9">
        <v>45283</v>
      </c>
      <c r="Q149" s="9">
        <v>45103</v>
      </c>
      <c r="R149" s="10" t="str">
        <f>HYPERLINK(_xlfn.CONCAT("https://mhmpl.sangamcrm.com/tickets/",Ticket3[[#This Row],[Id]]))</f>
        <v>https://mhmpl.sangamcrm.com/tickets/0f35be20-24e8-4fb3-bb42-cc21df3ddb1d</v>
      </c>
      <c r="S149" s="9" t="str">
        <f>_xlfn.CONCAT(Ticket3[[#This Row],[Account Name]]," ",Ticket3[[#This Row],[City]]," ",Ticket3[[#This Row],[Product Name]]," ",Ticket3[[#This Row],[Ticket Type]]," ")</f>
        <v xml:space="preserve">NEDUMCHALIL EYE HOSPITAL KOCHI OA-2000 PMS </v>
      </c>
    </row>
    <row r="150" spans="1:19" x14ac:dyDescent="0.25">
      <c r="A150" s="3">
        <v>52254</v>
      </c>
      <c r="B150" s="4" t="s">
        <v>2230</v>
      </c>
      <c r="C150" s="2">
        <v>46356</v>
      </c>
      <c r="D150" s="1" t="s">
        <v>2290</v>
      </c>
      <c r="E150" s="1" t="s">
        <v>2442</v>
      </c>
      <c r="F150" s="4" t="s">
        <v>2303</v>
      </c>
      <c r="G150" s="4" t="s">
        <v>1722</v>
      </c>
      <c r="H150" s="4" t="s">
        <v>2234</v>
      </c>
      <c r="I150" s="4" t="s">
        <v>2237</v>
      </c>
      <c r="J150" t="s">
        <v>2946</v>
      </c>
      <c r="K150" s="1" t="s">
        <v>2237</v>
      </c>
      <c r="L150" s="1" t="s">
        <v>2238</v>
      </c>
      <c r="M150" s="1" t="s">
        <v>1722</v>
      </c>
      <c r="N150" s="9">
        <v>46160</v>
      </c>
      <c r="O150" s="9">
        <v>46011</v>
      </c>
      <c r="P150" s="9">
        <v>45805</v>
      </c>
      <c r="Q150" s="9">
        <v>45609</v>
      </c>
      <c r="R150" s="10" t="str">
        <f>HYPERLINK(_xlfn.CONCAT("https://mhmpl.sangamcrm.com/tickets/",Ticket3[[#This Row],[Id]]))</f>
        <v>https://mhmpl.sangamcrm.com/tickets/6d95396b-1bfe-4ae3-b1ba-d27bdaacf032</v>
      </c>
      <c r="S150" s="9" t="str">
        <f>_xlfn.CONCAT(Ticket3[[#This Row],[Account Name]]," ",Ticket3[[#This Row],[City]]," ",Ticket3[[#This Row],[Product Name]]," ",Ticket3[[#This Row],[Ticket Type]]," ")</f>
        <v xml:space="preserve">THE EYE FOUNDATION KOCHI EX500 PMS </v>
      </c>
    </row>
    <row r="151" spans="1:19" x14ac:dyDescent="0.25">
      <c r="A151" s="3">
        <v>52255</v>
      </c>
      <c r="B151" s="4" t="s">
        <v>2364</v>
      </c>
      <c r="C151" s="2">
        <v>46302</v>
      </c>
      <c r="D151" s="1" t="s">
        <v>2290</v>
      </c>
      <c r="E151" s="1" t="s">
        <v>2442</v>
      </c>
      <c r="F151" s="4" t="s">
        <v>2303</v>
      </c>
      <c r="G151" s="4" t="s">
        <v>1722</v>
      </c>
      <c r="H151" s="4" t="s">
        <v>2234</v>
      </c>
      <c r="I151" s="4" t="s">
        <v>2237</v>
      </c>
      <c r="J151" t="s">
        <v>2446</v>
      </c>
      <c r="K151" s="1" t="s">
        <v>2237</v>
      </c>
      <c r="L151" s="1" t="s">
        <v>2251</v>
      </c>
      <c r="M151" s="1" t="s">
        <v>1722</v>
      </c>
      <c r="N151" s="9">
        <v>46160</v>
      </c>
      <c r="O151" s="9">
        <v>46011</v>
      </c>
      <c r="P151" s="9">
        <v>45805</v>
      </c>
      <c r="Q151" s="9">
        <v>45609</v>
      </c>
      <c r="R151" s="10" t="str">
        <f>HYPERLINK(_xlfn.CONCAT("https://mhmpl.sangamcrm.com/tickets/",Ticket3[[#This Row],[Id]]))</f>
        <v>https://mhmpl.sangamcrm.com/tickets/331c1d0e-e04a-45f3-8593-95a4e6adf4dd</v>
      </c>
      <c r="S151" s="9" t="str">
        <f>_xlfn.CONCAT(Ticket3[[#This Row],[Account Name]]," ",Ticket3[[#This Row],[City]]," ",Ticket3[[#This Row],[Product Name]]," ",Ticket3[[#This Row],[Ticket Type]]," ")</f>
        <v xml:space="preserve">THE EYE FOUNDATION KOCHI EX500 PMS </v>
      </c>
    </row>
    <row r="152" spans="1:19" x14ac:dyDescent="0.25">
      <c r="A152" s="3">
        <v>42155</v>
      </c>
      <c r="B152" s="4" t="s">
        <v>2230</v>
      </c>
      <c r="C152" s="2">
        <v>46326</v>
      </c>
      <c r="D152" s="1" t="s">
        <v>2447</v>
      </c>
      <c r="E152" s="1" t="s">
        <v>2442</v>
      </c>
      <c r="F152" s="4" t="s">
        <v>2448</v>
      </c>
      <c r="G152" s="4" t="s">
        <v>1795</v>
      </c>
      <c r="H152" s="4" t="s">
        <v>2234</v>
      </c>
      <c r="I152" s="4" t="s">
        <v>2235</v>
      </c>
      <c r="J152" t="s">
        <v>2449</v>
      </c>
      <c r="K152" s="1" t="s">
        <v>2237</v>
      </c>
      <c r="L152" s="1" t="s">
        <v>2283</v>
      </c>
      <c r="M152" s="1" t="s">
        <v>1795</v>
      </c>
      <c r="N152" s="9">
        <v>46106</v>
      </c>
      <c r="O152" s="9">
        <v>45950</v>
      </c>
      <c r="P152" s="9">
        <v>45744</v>
      </c>
      <c r="Q152" s="9">
        <v>45553</v>
      </c>
      <c r="R152" s="10" t="str">
        <f>HYPERLINK(_xlfn.CONCAT("https://mhmpl.sangamcrm.com/tickets/",Ticket3[[#This Row],[Id]]))</f>
        <v>https://mhmpl.sangamcrm.com/tickets/379a18a8-95c8-4210-989b-c3dafc8565a4</v>
      </c>
      <c r="S152" s="9" t="str">
        <f>_xlfn.CONCAT(Ticket3[[#This Row],[Account Name]]," ",Ticket3[[#This Row],[City]]," ",Ticket3[[#This Row],[Product Name]]," ",Ticket3[[#This Row],[Ticket Type]]," ")</f>
        <v xml:space="preserve">SREEDHARREEYAM AYURVEDIC EYE HOSPITAL &amp; RESEARCH CENTRE KOCHI PTS 1000 PMS </v>
      </c>
    </row>
    <row r="153" spans="1:19" x14ac:dyDescent="0.25">
      <c r="A153" s="3">
        <v>51179</v>
      </c>
      <c r="B153" s="4" t="s">
        <v>2230</v>
      </c>
      <c r="C153" s="2">
        <v>46356</v>
      </c>
      <c r="D153" s="1" t="s">
        <v>2966</v>
      </c>
      <c r="E153" s="1" t="s">
        <v>2442</v>
      </c>
      <c r="F153" s="4" t="s">
        <v>2334</v>
      </c>
      <c r="G153" s="4" t="s">
        <v>1964</v>
      </c>
      <c r="H153" s="4" t="s">
        <v>2234</v>
      </c>
      <c r="I153" s="4" t="s">
        <v>2235</v>
      </c>
      <c r="J153" t="s">
        <v>2967</v>
      </c>
      <c r="K153" s="1" t="s">
        <v>2237</v>
      </c>
      <c r="L153" s="1" t="s">
        <v>2238</v>
      </c>
      <c r="M153" s="1" t="s">
        <v>1964</v>
      </c>
      <c r="N153" s="9">
        <v>46150</v>
      </c>
      <c r="O153" s="9">
        <v>45944</v>
      </c>
      <c r="P153" s="9">
        <v>45800</v>
      </c>
      <c r="Q153" s="9">
        <v>45574</v>
      </c>
      <c r="R153" s="10" t="str">
        <f>HYPERLINK(_xlfn.CONCAT("https://mhmpl.sangamcrm.com/tickets/",Ticket3[[#This Row],[Id]]))</f>
        <v>https://mhmpl.sangamcrm.com/tickets/6086bd4e-3ed0-4be5-806e-4d31f1a04c60</v>
      </c>
      <c r="S153" s="9" t="str">
        <f>_xlfn.CONCAT(Ticket3[[#This Row],[Account Name]]," ",Ticket3[[#This Row],[City]]," ",Ticket3[[#This Row],[Product Name]]," ",Ticket3[[#This Row],[Ticket Type]]," ")</f>
        <v xml:space="preserve">ROSHAN EYE CARE HOSPITAL KOCHI SIRIUS PMS </v>
      </c>
    </row>
    <row r="154" spans="1:19" x14ac:dyDescent="0.25">
      <c r="A154" s="3">
        <v>51177</v>
      </c>
      <c r="B154" s="4" t="s">
        <v>2230</v>
      </c>
      <c r="C154" s="2">
        <v>46356</v>
      </c>
      <c r="D154" s="1" t="s">
        <v>2966</v>
      </c>
      <c r="E154" s="1" t="s">
        <v>2442</v>
      </c>
      <c r="F154" s="4" t="s">
        <v>2964</v>
      </c>
      <c r="G154" s="4" t="s">
        <v>2055</v>
      </c>
      <c r="H154" s="4" t="s">
        <v>2234</v>
      </c>
      <c r="I154" s="4" t="s">
        <v>2235</v>
      </c>
      <c r="J154" t="s">
        <v>2974</v>
      </c>
      <c r="K154" s="1" t="s">
        <v>2237</v>
      </c>
      <c r="L154" s="1" t="s">
        <v>2238</v>
      </c>
      <c r="M154" s="1" t="s">
        <v>2055</v>
      </c>
      <c r="N154" s="9">
        <v>46150</v>
      </c>
      <c r="O154" s="9">
        <v>45943</v>
      </c>
      <c r="P154" s="9">
        <v>45800</v>
      </c>
      <c r="Q154" s="9">
        <v>45574</v>
      </c>
      <c r="R154" s="10" t="str">
        <f>HYPERLINK(_xlfn.CONCAT("https://mhmpl.sangamcrm.com/tickets/",Ticket3[[#This Row],[Id]]))</f>
        <v>https://mhmpl.sangamcrm.com/tickets/3bfe638f-83da-4b2b-8085-6f7dd3a571b0</v>
      </c>
      <c r="S154" s="9" t="str">
        <f>_xlfn.CONCAT(Ticket3[[#This Row],[Account Name]]," ",Ticket3[[#This Row],[City]]," ",Ticket3[[#This Row],[Product Name]]," ",Ticket3[[#This Row],[Ticket Type]]," ")</f>
        <v xml:space="preserve">ROSHAN EYE CARE HOSPITAL KOCHI HS-60VD PMS </v>
      </c>
    </row>
    <row r="155" spans="1:19" x14ac:dyDescent="0.25">
      <c r="A155" s="3">
        <v>50166</v>
      </c>
      <c r="B155" s="4" t="s">
        <v>2230</v>
      </c>
      <c r="C155" s="2">
        <v>46356</v>
      </c>
      <c r="D155" s="1" t="s">
        <v>2819</v>
      </c>
      <c r="E155" s="1" t="s">
        <v>2820</v>
      </c>
      <c r="F155" s="4" t="s">
        <v>2351</v>
      </c>
      <c r="G155" s="4" t="s">
        <v>413</v>
      </c>
      <c r="H155" s="4" t="s">
        <v>2234</v>
      </c>
      <c r="I155" s="4" t="s">
        <v>2327</v>
      </c>
      <c r="J155" t="s">
        <v>2821</v>
      </c>
      <c r="K155" s="1" t="s">
        <v>2237</v>
      </c>
      <c r="L155" s="1" t="s">
        <v>2238</v>
      </c>
      <c r="M155" s="1" t="s">
        <v>413</v>
      </c>
      <c r="N155" s="9">
        <v>46146</v>
      </c>
      <c r="O155" s="9">
        <v>45967</v>
      </c>
      <c r="P155" s="9"/>
      <c r="Q155" s="9"/>
      <c r="R155" s="10" t="str">
        <f>HYPERLINK(_xlfn.CONCAT("https://mhmpl.sangamcrm.com/tickets/",Ticket3[[#This Row],[Id]]))</f>
        <v>https://mhmpl.sangamcrm.com/tickets/6cddbb10-42b9-408b-bde9-ed483d57a709</v>
      </c>
      <c r="S155" s="9" t="str">
        <f>_xlfn.CONCAT(Ticket3[[#This Row],[Account Name]]," ",Ticket3[[#This Row],[City]]," ",Ticket3[[#This Row],[Product Name]]," ",Ticket3[[#This Row],[Ticket Type]]," ")</f>
        <v xml:space="preserve">AHALIA FOUNDATION EYE HOSPITAL - Kollam KOLLAM SIRIUS+ PMS </v>
      </c>
    </row>
    <row r="156" spans="1:19" x14ac:dyDescent="0.25">
      <c r="A156" s="3">
        <v>56909</v>
      </c>
      <c r="B156" s="4" t="s">
        <v>2258</v>
      </c>
      <c r="C156" s="2">
        <v>46321</v>
      </c>
      <c r="D156" s="1" t="s">
        <v>2688</v>
      </c>
      <c r="E156" s="1" t="s">
        <v>2689</v>
      </c>
      <c r="F156" s="4" t="s">
        <v>2423</v>
      </c>
      <c r="G156" s="4" t="s">
        <v>8</v>
      </c>
      <c r="H156" s="4" t="s">
        <v>2249</v>
      </c>
      <c r="I156" s="4" t="s">
        <v>2235</v>
      </c>
      <c r="J156" t="s">
        <v>2690</v>
      </c>
      <c r="K156" s="1" t="s">
        <v>2237</v>
      </c>
      <c r="L156" s="1" t="s">
        <v>2251</v>
      </c>
      <c r="M156" s="1" t="s">
        <v>8</v>
      </c>
      <c r="N156" s="9"/>
      <c r="O156" s="9"/>
      <c r="P156" s="9"/>
      <c r="Q156" s="9"/>
      <c r="R156" s="10" t="str">
        <f>HYPERLINK(_xlfn.CONCAT("https://mhmpl.sangamcrm.com/tickets/",Ticket3[[#This Row],[Id]]))</f>
        <v>https://mhmpl.sangamcrm.com/tickets/5686e7ae-6543-4ea3-b6bc-e66e390095ed</v>
      </c>
      <c r="S156" s="9" t="str">
        <f>_xlfn.CONCAT(Ticket3[[#This Row],[Account Name]]," ",Ticket3[[#This Row],[City]]," ",Ticket3[[#This Row],[Product Name]]," ",Ticket3[[#This Row],[Ticket Type]]," ")</f>
        <v xml:space="preserve">TVJ EYE HOSPITAL KOTHAMANGALAM MR-6000 Service </v>
      </c>
    </row>
    <row r="157" spans="1:19" x14ac:dyDescent="0.25">
      <c r="A157" s="3">
        <v>51203</v>
      </c>
      <c r="B157" s="4" t="s">
        <v>2230</v>
      </c>
      <c r="C157" s="2">
        <v>46326</v>
      </c>
      <c r="D157" s="1" t="s">
        <v>2450</v>
      </c>
      <c r="E157" s="1" t="s">
        <v>2451</v>
      </c>
      <c r="F157" s="4" t="s">
        <v>2333</v>
      </c>
      <c r="G157" s="4" t="s">
        <v>946</v>
      </c>
      <c r="H157" s="4" t="s">
        <v>2234</v>
      </c>
      <c r="I157" s="4" t="s">
        <v>2235</v>
      </c>
      <c r="J157" t="s">
        <v>2452</v>
      </c>
      <c r="K157" s="1" t="s">
        <v>2237</v>
      </c>
      <c r="L157" s="1" t="s">
        <v>2283</v>
      </c>
      <c r="M157" s="1" t="s">
        <v>946</v>
      </c>
      <c r="N157" s="9">
        <v>46183</v>
      </c>
      <c r="O157" s="9">
        <v>46039</v>
      </c>
      <c r="P157" s="9">
        <v>45808</v>
      </c>
      <c r="Q157" s="9">
        <v>45804</v>
      </c>
      <c r="R157" s="10" t="str">
        <f>HYPERLINK(_xlfn.CONCAT("https://mhmpl.sangamcrm.com/tickets/",Ticket3[[#This Row],[Id]]))</f>
        <v>https://mhmpl.sangamcrm.com/tickets/477afd7b-ff12-43e2-946a-56e74f9856ec</v>
      </c>
      <c r="S157" s="9" t="str">
        <f>_xlfn.CONCAT(Ticket3[[#This Row],[Account Name]]," ",Ticket3[[#This Row],[City]]," ",Ticket3[[#This Row],[Product Name]]," ",Ticket3[[#This Row],[Ticket Type]]," ")</f>
        <v xml:space="preserve">CARITAS HOSPITAL Kottayam Enbio PRO PMS </v>
      </c>
    </row>
    <row r="158" spans="1:19" x14ac:dyDescent="0.25">
      <c r="A158" s="3">
        <v>51201</v>
      </c>
      <c r="B158" s="4" t="s">
        <v>2230</v>
      </c>
      <c r="C158" s="2">
        <v>46326</v>
      </c>
      <c r="D158" s="1" t="s">
        <v>2450</v>
      </c>
      <c r="E158" s="1" t="s">
        <v>2451</v>
      </c>
      <c r="F158" s="4" t="s">
        <v>2333</v>
      </c>
      <c r="G158" s="4" t="s">
        <v>1006</v>
      </c>
      <c r="H158" s="4" t="s">
        <v>2234</v>
      </c>
      <c r="I158" s="4" t="s">
        <v>2235</v>
      </c>
      <c r="J158" t="s">
        <v>2453</v>
      </c>
      <c r="K158" s="1" t="s">
        <v>2237</v>
      </c>
      <c r="L158" s="1" t="s">
        <v>2283</v>
      </c>
      <c r="M158" s="1" t="s">
        <v>1006</v>
      </c>
      <c r="N158" s="9">
        <v>46183</v>
      </c>
      <c r="O158" s="9">
        <v>46039</v>
      </c>
      <c r="P158" s="9">
        <v>45615</v>
      </c>
      <c r="Q158" s="9">
        <v>45458</v>
      </c>
      <c r="R158" s="10" t="str">
        <f>HYPERLINK(_xlfn.CONCAT("https://mhmpl.sangamcrm.com/tickets/",Ticket3[[#This Row],[Id]]))</f>
        <v>https://mhmpl.sangamcrm.com/tickets/813e819c-2236-4b28-b3c9-320a35923c9e</v>
      </c>
      <c r="S158" s="9" t="str">
        <f>_xlfn.CONCAT(Ticket3[[#This Row],[Account Name]]," ",Ticket3[[#This Row],[City]]," ",Ticket3[[#This Row],[Product Name]]," ",Ticket3[[#This Row],[Ticket Type]]," ")</f>
        <v xml:space="preserve">CARITAS HOSPITAL Kottayam Enbio PRO PMS </v>
      </c>
    </row>
    <row r="159" spans="1:19" x14ac:dyDescent="0.25">
      <c r="A159" s="3">
        <v>46219</v>
      </c>
      <c r="B159" s="4" t="s">
        <v>2230</v>
      </c>
      <c r="C159" s="2">
        <v>46356</v>
      </c>
      <c r="D159" s="1" t="s">
        <v>2849</v>
      </c>
      <c r="E159" s="1" t="s">
        <v>2909</v>
      </c>
      <c r="F159" s="4" t="s">
        <v>2275</v>
      </c>
      <c r="G159" s="4" t="s">
        <v>1355</v>
      </c>
      <c r="H159" s="4" t="s">
        <v>2234</v>
      </c>
      <c r="I159" s="4" t="s">
        <v>2235</v>
      </c>
      <c r="J159" t="s">
        <v>2910</v>
      </c>
      <c r="K159" s="1" t="s">
        <v>2237</v>
      </c>
      <c r="L159" s="1" t="s">
        <v>2238</v>
      </c>
      <c r="M159" s="1" t="s">
        <v>1355</v>
      </c>
      <c r="N159" s="9">
        <v>46225</v>
      </c>
      <c r="O159" s="9">
        <v>46017</v>
      </c>
      <c r="P159" s="9">
        <v>45841</v>
      </c>
      <c r="Q159" s="9">
        <v>45635</v>
      </c>
      <c r="R159" s="10" t="str">
        <f>HYPERLINK(_xlfn.CONCAT("https://mhmpl.sangamcrm.com/tickets/",Ticket3[[#This Row],[Id]]))</f>
        <v>https://mhmpl.sangamcrm.com/tickets/fc1f9a51-8a8d-4176-9806-008a591a6ca6</v>
      </c>
      <c r="S159" s="9" t="str">
        <f>_xlfn.CONCAT(Ticket3[[#This Row],[Account Name]]," ",Ticket3[[#This Row],[City]]," ",Ticket3[[#This Row],[Product Name]]," ",Ticket3[[#This Row],[Ticket Type]]," ")</f>
        <v xml:space="preserve">ALPHONSA EYE HOSPITAL KOTTAYAM EM-4000 PMS </v>
      </c>
    </row>
    <row r="160" spans="1:19" x14ac:dyDescent="0.25">
      <c r="A160" s="3">
        <v>44442</v>
      </c>
      <c r="B160" s="4" t="s">
        <v>2230</v>
      </c>
      <c r="C160" s="2">
        <v>46356</v>
      </c>
      <c r="D160" s="1" t="s">
        <v>2920</v>
      </c>
      <c r="E160" s="1" t="s">
        <v>2909</v>
      </c>
      <c r="F160" s="4" t="s">
        <v>2275</v>
      </c>
      <c r="G160" s="4" t="s">
        <v>1451</v>
      </c>
      <c r="H160" s="4" t="s">
        <v>2234</v>
      </c>
      <c r="I160" s="4" t="s">
        <v>2235</v>
      </c>
      <c r="J160" t="s">
        <v>2921</v>
      </c>
      <c r="K160" s="1" t="s">
        <v>2237</v>
      </c>
      <c r="L160" s="1" t="s">
        <v>2238</v>
      </c>
      <c r="M160" s="1" t="s">
        <v>1451</v>
      </c>
      <c r="N160" s="9">
        <v>46171</v>
      </c>
      <c r="O160" s="9">
        <v>46017</v>
      </c>
      <c r="P160" s="9">
        <v>45863</v>
      </c>
      <c r="Q160" s="9">
        <v>45629</v>
      </c>
      <c r="R160" s="10" t="str">
        <f>HYPERLINK(_xlfn.CONCAT("https://mhmpl.sangamcrm.com/tickets/",Ticket3[[#This Row],[Id]]))</f>
        <v>https://mhmpl.sangamcrm.com/tickets/5c126b89-42d3-426d-b2ea-71476d4a8101</v>
      </c>
      <c r="S160" s="9" t="str">
        <f>_xlfn.CONCAT(Ticket3[[#This Row],[Account Name]]," ",Ticket3[[#This Row],[City]]," ",Ticket3[[#This Row],[Product Name]]," ",Ticket3[[#This Row],[Ticket Type]]," ")</f>
        <v xml:space="preserve">SJ EYE HOSPITAL KOTTAYAM EM-4000 PMS </v>
      </c>
    </row>
    <row r="161" spans="1:19" x14ac:dyDescent="0.25">
      <c r="A161" s="3">
        <v>44438</v>
      </c>
      <c r="B161" s="4" t="s">
        <v>2230</v>
      </c>
      <c r="C161" s="2">
        <v>46356</v>
      </c>
      <c r="D161" s="1" t="s">
        <v>2920</v>
      </c>
      <c r="E161" s="1" t="s">
        <v>2909</v>
      </c>
      <c r="F161" s="4" t="s">
        <v>2284</v>
      </c>
      <c r="G161" s="4" t="s">
        <v>1617</v>
      </c>
      <c r="H161" s="4" t="s">
        <v>2234</v>
      </c>
      <c r="I161" s="4" t="s">
        <v>2235</v>
      </c>
      <c r="J161" t="s">
        <v>2938</v>
      </c>
      <c r="K161" s="1" t="s">
        <v>2237</v>
      </c>
      <c r="L161" s="1" t="s">
        <v>2238</v>
      </c>
      <c r="M161" s="1" t="s">
        <v>1617</v>
      </c>
      <c r="N161" s="9">
        <v>46171</v>
      </c>
      <c r="O161" s="9">
        <v>46017</v>
      </c>
      <c r="P161" s="9">
        <v>45863</v>
      </c>
      <c r="Q161" s="9">
        <v>45629</v>
      </c>
      <c r="R161" s="10" t="str">
        <f>HYPERLINK(_xlfn.CONCAT("https://mhmpl.sangamcrm.com/tickets/",Ticket3[[#This Row],[Id]]))</f>
        <v>https://mhmpl.sangamcrm.com/tickets/df03c133-781f-498b-b0d0-0f08a182350a</v>
      </c>
      <c r="S161" s="9" t="str">
        <f>_xlfn.CONCAT(Ticket3[[#This Row],[Account Name]]," ",Ticket3[[#This Row],[City]]," ",Ticket3[[#This Row],[Product Name]]," ",Ticket3[[#This Row],[Ticket Type]]," ")</f>
        <v xml:space="preserve">SJ EYE HOSPITAL KOTTAYAM OA-2000 PMS </v>
      </c>
    </row>
    <row r="162" spans="1:19" x14ac:dyDescent="0.25">
      <c r="A162" s="3">
        <v>44440</v>
      </c>
      <c r="B162" s="4" t="s">
        <v>2230</v>
      </c>
      <c r="C162" s="2">
        <v>46356</v>
      </c>
      <c r="D162" s="1" t="s">
        <v>2920</v>
      </c>
      <c r="E162" s="1" t="s">
        <v>2909</v>
      </c>
      <c r="F162" s="4" t="s">
        <v>2288</v>
      </c>
      <c r="G162" s="4" t="s">
        <v>1793</v>
      </c>
      <c r="H162" s="4" t="s">
        <v>2234</v>
      </c>
      <c r="I162" s="4" t="s">
        <v>2235</v>
      </c>
      <c r="J162" t="s">
        <v>2951</v>
      </c>
      <c r="K162" s="1" t="s">
        <v>2237</v>
      </c>
      <c r="L162" s="1" t="s">
        <v>2238</v>
      </c>
      <c r="M162" s="1" t="s">
        <v>1793</v>
      </c>
      <c r="N162" s="9">
        <v>46171</v>
      </c>
      <c r="O162" s="9">
        <v>46017</v>
      </c>
      <c r="P162" s="9">
        <v>45863</v>
      </c>
      <c r="Q162" s="9">
        <v>45636</v>
      </c>
      <c r="R162" s="10" t="str">
        <f>HYPERLINK(_xlfn.CONCAT("https://mhmpl.sangamcrm.com/tickets/",Ticket3[[#This Row],[Id]]))</f>
        <v>https://mhmpl.sangamcrm.com/tickets/32dbb9f9-9b3b-41ab-b4d4-024e27a64083</v>
      </c>
      <c r="S162" s="9" t="str">
        <f>_xlfn.CONCAT(Ticket3[[#This Row],[Account Name]]," ",Ticket3[[#This Row],[City]]," ",Ticket3[[#This Row],[Product Name]]," ",Ticket3[[#This Row],[Ticket Type]]," ")</f>
        <v xml:space="preserve">SJ EYE HOSPITAL KOTTAYAM HS-2522BL PMS </v>
      </c>
    </row>
    <row r="163" spans="1:19" x14ac:dyDescent="0.25">
      <c r="A163" s="3">
        <v>46215</v>
      </c>
      <c r="B163" s="4" t="s">
        <v>2230</v>
      </c>
      <c r="C163" s="2">
        <v>46356</v>
      </c>
      <c r="D163" s="1" t="s">
        <v>2849</v>
      </c>
      <c r="E163" s="1" t="s">
        <v>2909</v>
      </c>
      <c r="F163" s="4" t="s">
        <v>2376</v>
      </c>
      <c r="G163" s="4" t="s">
        <v>1865</v>
      </c>
      <c r="H163" s="4" t="s">
        <v>2234</v>
      </c>
      <c r="I163" s="4" t="s">
        <v>2235</v>
      </c>
      <c r="J163" t="s">
        <v>2952</v>
      </c>
      <c r="K163" s="1" t="s">
        <v>2237</v>
      </c>
      <c r="L163" s="1" t="s">
        <v>2238</v>
      </c>
      <c r="M163" s="1" t="s">
        <v>1865</v>
      </c>
      <c r="N163" s="9">
        <v>46225</v>
      </c>
      <c r="O163" s="9">
        <v>46017</v>
      </c>
      <c r="P163" s="9">
        <v>45842</v>
      </c>
      <c r="Q163" s="9">
        <v>45635</v>
      </c>
      <c r="R163" s="10" t="str">
        <f>HYPERLINK(_xlfn.CONCAT("https://mhmpl.sangamcrm.com/tickets/",Ticket3[[#This Row],[Id]]))</f>
        <v>https://mhmpl.sangamcrm.com/tickets/e0f46b86-9d52-4cce-b113-faf5c7a96a82</v>
      </c>
      <c r="S163" s="9" t="str">
        <f>_xlfn.CONCAT(Ticket3[[#This Row],[Account Name]]," ",Ticket3[[#This Row],[City]]," ",Ticket3[[#This Row],[Product Name]]," ",Ticket3[[#This Row],[Ticket Type]]," ")</f>
        <v xml:space="preserve">ALPHONSA EYE HOSPITAL KOTTAYAM UV-X 1000 PMS </v>
      </c>
    </row>
    <row r="164" spans="1:19" x14ac:dyDescent="0.25">
      <c r="A164" s="3">
        <v>46217</v>
      </c>
      <c r="B164" s="4" t="s">
        <v>2230</v>
      </c>
      <c r="C164" s="2">
        <v>46356</v>
      </c>
      <c r="D164" s="1" t="s">
        <v>2849</v>
      </c>
      <c r="E164" s="1" t="s">
        <v>2909</v>
      </c>
      <c r="F164" s="4" t="s">
        <v>2241</v>
      </c>
      <c r="G164" s="4" t="s">
        <v>1869</v>
      </c>
      <c r="H164" s="4" t="s">
        <v>2234</v>
      </c>
      <c r="I164" s="4" t="s">
        <v>2235</v>
      </c>
      <c r="J164" t="s">
        <v>2953</v>
      </c>
      <c r="K164" s="1" t="s">
        <v>2237</v>
      </c>
      <c r="L164" s="1" t="s">
        <v>2238</v>
      </c>
      <c r="M164" s="1" t="s">
        <v>1869</v>
      </c>
      <c r="N164" s="9">
        <v>46225</v>
      </c>
      <c r="O164" s="9">
        <v>46017</v>
      </c>
      <c r="P164" s="9">
        <v>45841</v>
      </c>
      <c r="Q164" s="9">
        <v>45635</v>
      </c>
      <c r="R164" s="10" t="str">
        <f>HYPERLINK(_xlfn.CONCAT("https://mhmpl.sangamcrm.com/tickets/",Ticket3[[#This Row],[Id]]))</f>
        <v>https://mhmpl.sangamcrm.com/tickets/918813fc-43a4-40e6-8a41-9c3054c822c1</v>
      </c>
      <c r="S164" s="9" t="str">
        <f>_xlfn.CONCAT(Ticket3[[#This Row],[Account Name]]," ",Ticket3[[#This Row],[City]]," ",Ticket3[[#This Row],[Product Name]]," ",Ticket3[[#This Row],[Ticket Type]]," ")</f>
        <v xml:space="preserve">ALPHONSA EYE HOSPITAL KOTTAYAM TMS-4N PMS </v>
      </c>
    </row>
    <row r="165" spans="1:19" x14ac:dyDescent="0.25">
      <c r="A165" s="3">
        <v>43576</v>
      </c>
      <c r="B165" s="4" t="s">
        <v>2230</v>
      </c>
      <c r="C165" s="2">
        <v>46326</v>
      </c>
      <c r="D165" s="1" t="s">
        <v>2325</v>
      </c>
      <c r="E165" s="1" t="s">
        <v>2454</v>
      </c>
      <c r="F165" s="4" t="s">
        <v>2286</v>
      </c>
      <c r="G165" s="4" t="s">
        <v>231</v>
      </c>
      <c r="H165" s="4" t="s">
        <v>2234</v>
      </c>
      <c r="I165" s="4" t="s">
        <v>2327</v>
      </c>
      <c r="J165" t="s">
        <v>2455</v>
      </c>
      <c r="K165" s="1" t="s">
        <v>2237</v>
      </c>
      <c r="L165" s="1" t="s">
        <v>2283</v>
      </c>
      <c r="M165" s="1" t="s">
        <v>231</v>
      </c>
      <c r="N165" s="9">
        <v>46178</v>
      </c>
      <c r="O165" s="9"/>
      <c r="P165" s="9"/>
      <c r="Q165" s="9"/>
      <c r="R165" s="10" t="str">
        <f>HYPERLINK(_xlfn.CONCAT("https://mhmpl.sangamcrm.com/tickets/",Ticket3[[#This Row],[Id]]))</f>
        <v>https://mhmpl.sangamcrm.com/tickets/e0af8350-8453-47e9-8717-7d7b08976bd5</v>
      </c>
      <c r="S165" s="9" t="str">
        <f>_xlfn.CONCAT(Ticket3[[#This Row],[Account Name]]," ",Ticket3[[#This Row],[City]]," ",Ticket3[[#This Row],[Product Name]]," ",Ticket3[[#This Row],[Ticket Type]]," ")</f>
        <v xml:space="preserve">COMTRUST CHARITABLE TRUST EYE HOSPITAL KOZHIKODE REVO FC PMS </v>
      </c>
    </row>
    <row r="166" spans="1:19" x14ac:dyDescent="0.25">
      <c r="A166" s="3">
        <v>51896</v>
      </c>
      <c r="B166" s="4" t="s">
        <v>2230</v>
      </c>
      <c r="C166" s="2">
        <v>46356</v>
      </c>
      <c r="D166" s="1" t="s">
        <v>2456</v>
      </c>
      <c r="E166" s="1" t="s">
        <v>2457</v>
      </c>
      <c r="F166" s="4" t="s">
        <v>2286</v>
      </c>
      <c r="G166" s="4" t="s">
        <v>70</v>
      </c>
      <c r="H166" s="4" t="s">
        <v>2234</v>
      </c>
      <c r="I166" s="4" t="s">
        <v>2331</v>
      </c>
      <c r="J166" t="s">
        <v>2765</v>
      </c>
      <c r="K166" s="1" t="s">
        <v>2332</v>
      </c>
      <c r="L166" s="1" t="s">
        <v>2238</v>
      </c>
      <c r="M166" s="1" t="s">
        <v>70</v>
      </c>
      <c r="N166" s="9"/>
      <c r="O166" s="9"/>
      <c r="P166" s="9"/>
      <c r="Q166" s="9"/>
      <c r="R166" s="10" t="str">
        <f>HYPERLINK(_xlfn.CONCAT("https://mhmpl.sangamcrm.com/tickets/",Ticket3[[#This Row],[Id]]))</f>
        <v>https://mhmpl.sangamcrm.com/tickets/c1156b94-43c5-465d-8629-49c6d3d48b42</v>
      </c>
      <c r="S166" s="9" t="str">
        <f>_xlfn.CONCAT(Ticket3[[#This Row],[Account Name]]," ",Ticket3[[#This Row],[City]]," ",Ticket3[[#This Row],[Product Name]]," ",Ticket3[[#This Row],[Ticket Type]]," ")</f>
        <v xml:space="preserve">DR ARVIND VISION CARE, Kumbakonam KUMBAKONAM REVO FC PMS </v>
      </c>
    </row>
    <row r="167" spans="1:19" x14ac:dyDescent="0.25">
      <c r="A167" s="3">
        <v>42644</v>
      </c>
      <c r="B167" s="4" t="s">
        <v>2230</v>
      </c>
      <c r="C167" s="2">
        <v>46326</v>
      </c>
      <c r="D167" s="1" t="s">
        <v>2456</v>
      </c>
      <c r="E167" s="1" t="s">
        <v>2457</v>
      </c>
      <c r="F167" s="4" t="s">
        <v>2284</v>
      </c>
      <c r="G167" s="4" t="s">
        <v>803</v>
      </c>
      <c r="H167" s="4" t="s">
        <v>2234</v>
      </c>
      <c r="I167" s="4" t="s">
        <v>2332</v>
      </c>
      <c r="J167" t="s">
        <v>2458</v>
      </c>
      <c r="K167" s="1" t="s">
        <v>2332</v>
      </c>
      <c r="L167" s="1" t="s">
        <v>2283</v>
      </c>
      <c r="M167" s="1" t="s">
        <v>803</v>
      </c>
      <c r="N167" s="9">
        <v>46171</v>
      </c>
      <c r="O167" s="9">
        <v>45946</v>
      </c>
      <c r="P167" s="9">
        <v>45765</v>
      </c>
      <c r="Q167" s="9">
        <v>45629</v>
      </c>
      <c r="R167" s="10" t="str">
        <f>HYPERLINK(_xlfn.CONCAT("https://mhmpl.sangamcrm.com/tickets/",Ticket3[[#This Row],[Id]]))</f>
        <v>https://mhmpl.sangamcrm.com/tickets/c58c4f26-d3fd-491f-986a-04316ddd7ebc</v>
      </c>
      <c r="S167" s="9" t="str">
        <f>_xlfn.CONCAT(Ticket3[[#This Row],[Account Name]]," ",Ticket3[[#This Row],[City]]," ",Ticket3[[#This Row],[Product Name]]," ",Ticket3[[#This Row],[Ticket Type]]," ")</f>
        <v xml:space="preserve">DR ARVIND VISION CARE, Kumbakonam KUMBAKONAM OA-2000 PMS </v>
      </c>
    </row>
    <row r="168" spans="1:19" x14ac:dyDescent="0.25">
      <c r="A168" s="3">
        <v>46326</v>
      </c>
      <c r="B168" s="4" t="s">
        <v>2230</v>
      </c>
      <c r="C168" s="2">
        <v>46356</v>
      </c>
      <c r="D168" s="1" t="s">
        <v>2963</v>
      </c>
      <c r="E168" s="1" t="s">
        <v>2457</v>
      </c>
      <c r="F168" s="4" t="s">
        <v>2964</v>
      </c>
      <c r="G168" s="4" t="s">
        <v>1921</v>
      </c>
      <c r="H168" s="4" t="s">
        <v>2234</v>
      </c>
      <c r="I168" s="4" t="s">
        <v>2337</v>
      </c>
      <c r="J168" t="s">
        <v>2965</v>
      </c>
      <c r="K168" s="1" t="s">
        <v>2332</v>
      </c>
      <c r="L168" s="1" t="s">
        <v>2238</v>
      </c>
      <c r="M168" s="1" t="s">
        <v>1921</v>
      </c>
      <c r="N168" s="9">
        <v>46220</v>
      </c>
      <c r="O168" s="9">
        <v>46030</v>
      </c>
      <c r="P168" s="9">
        <v>45871</v>
      </c>
      <c r="Q168" s="9"/>
      <c r="R168" s="10" t="str">
        <f>HYPERLINK(_xlfn.CONCAT("https://mhmpl.sangamcrm.com/tickets/",Ticket3[[#This Row],[Id]]))</f>
        <v>https://mhmpl.sangamcrm.com/tickets/70b36681-d9a8-4875-a9d0-15f6a177ec76</v>
      </c>
      <c r="S168" s="9" t="str">
        <f>_xlfn.CONCAT(Ticket3[[#This Row],[Account Name]]," ",Ticket3[[#This Row],[City]]," ",Ticket3[[#This Row],[Product Name]]," ",Ticket3[[#This Row],[Ticket Type]]," ")</f>
        <v xml:space="preserve">SHREE KAMALA NETRALAYA KUMBAKONAM HS-60VD PMS </v>
      </c>
    </row>
    <row r="169" spans="1:19" x14ac:dyDescent="0.25">
      <c r="A169" s="3">
        <v>42648</v>
      </c>
      <c r="B169" s="4" t="s">
        <v>2230</v>
      </c>
      <c r="C169" s="2">
        <v>46326</v>
      </c>
      <c r="D169" s="1" t="s">
        <v>2459</v>
      </c>
      <c r="E169" s="1" t="s">
        <v>2460</v>
      </c>
      <c r="F169" s="4" t="s">
        <v>2284</v>
      </c>
      <c r="G169" s="4" t="s">
        <v>557</v>
      </c>
      <c r="H169" s="4" t="s">
        <v>2234</v>
      </c>
      <c r="I169" s="4" t="s">
        <v>2235</v>
      </c>
      <c r="J169" t="s">
        <v>2464</v>
      </c>
      <c r="K169" s="1" t="s">
        <v>2237</v>
      </c>
      <c r="L169" s="1" t="s">
        <v>2283</v>
      </c>
      <c r="M169" s="1" t="s">
        <v>557</v>
      </c>
      <c r="N169" s="9">
        <v>46116</v>
      </c>
      <c r="O169" s="9">
        <v>45939</v>
      </c>
      <c r="P169" s="9">
        <v>45775</v>
      </c>
      <c r="Q169" s="9"/>
      <c r="R169" s="10" t="str">
        <f>HYPERLINK(_xlfn.CONCAT("https://mhmpl.sangamcrm.com/tickets/",Ticket3[[#This Row],[Id]]))</f>
        <v>https://mhmpl.sangamcrm.com/tickets/c7a640f4-1acc-45cc-9f31-a9738f9d2040</v>
      </c>
      <c r="S169" s="9" t="str">
        <f>_xlfn.CONCAT(Ticket3[[#This Row],[Account Name]]," ",Ticket3[[#This Row],[City]]," ",Ticket3[[#This Row],[Product Name]]," ",Ticket3[[#This Row],[Ticket Type]]," ")</f>
        <v xml:space="preserve">AARYA EYE CARE HOSPITAL Kunnamkulam OA-2000 PMS </v>
      </c>
    </row>
    <row r="170" spans="1:19" x14ac:dyDescent="0.25">
      <c r="A170" s="3">
        <v>42650</v>
      </c>
      <c r="B170" s="4" t="s">
        <v>2230</v>
      </c>
      <c r="C170" s="2">
        <v>46326</v>
      </c>
      <c r="D170" s="1" t="s">
        <v>2459</v>
      </c>
      <c r="E170" s="1" t="s">
        <v>2460</v>
      </c>
      <c r="F170" s="4" t="s">
        <v>2286</v>
      </c>
      <c r="G170" s="4" t="s">
        <v>554</v>
      </c>
      <c r="H170" s="4" t="s">
        <v>2234</v>
      </c>
      <c r="I170" s="4" t="s">
        <v>2235</v>
      </c>
      <c r="J170" t="s">
        <v>2461</v>
      </c>
      <c r="K170" s="1" t="s">
        <v>2237</v>
      </c>
      <c r="L170" s="1" t="s">
        <v>2283</v>
      </c>
      <c r="M170" s="1" t="s">
        <v>554</v>
      </c>
      <c r="N170" s="9">
        <v>46116</v>
      </c>
      <c r="O170" s="9">
        <v>45939</v>
      </c>
      <c r="P170" s="9">
        <v>45775</v>
      </c>
      <c r="Q170" s="9"/>
      <c r="R170" s="10" t="str">
        <f>HYPERLINK(_xlfn.CONCAT("https://mhmpl.sangamcrm.com/tickets/",Ticket3[[#This Row],[Id]]))</f>
        <v>https://mhmpl.sangamcrm.com/tickets/25c0403f-def7-4e0e-b18a-2de2e8244ef5</v>
      </c>
      <c r="S170" s="9" t="str">
        <f>_xlfn.CONCAT(Ticket3[[#This Row],[Account Name]]," ",Ticket3[[#This Row],[City]]," ",Ticket3[[#This Row],[Product Name]]," ",Ticket3[[#This Row],[Ticket Type]]," ")</f>
        <v xml:space="preserve">AARYA EYE CARE HOSPITAL Kunnamkulam REVO FC PMS </v>
      </c>
    </row>
    <row r="171" spans="1:19" x14ac:dyDescent="0.25">
      <c r="A171" s="3">
        <v>42652</v>
      </c>
      <c r="B171" s="4" t="s">
        <v>2230</v>
      </c>
      <c r="C171" s="2">
        <v>46326</v>
      </c>
      <c r="D171" s="1" t="s">
        <v>2459</v>
      </c>
      <c r="E171" s="1" t="s">
        <v>2460</v>
      </c>
      <c r="F171" s="4" t="s">
        <v>2351</v>
      </c>
      <c r="G171" s="4" t="s">
        <v>556</v>
      </c>
      <c r="H171" s="4" t="s">
        <v>2234</v>
      </c>
      <c r="I171" s="4" t="s">
        <v>2235</v>
      </c>
      <c r="J171" t="s">
        <v>2463</v>
      </c>
      <c r="K171" s="1" t="s">
        <v>2237</v>
      </c>
      <c r="L171" s="1" t="s">
        <v>2283</v>
      </c>
      <c r="M171" s="1" t="s">
        <v>556</v>
      </c>
      <c r="N171" s="9">
        <v>46116</v>
      </c>
      <c r="O171" s="9">
        <v>45939</v>
      </c>
      <c r="P171" s="9">
        <v>45775</v>
      </c>
      <c r="Q171" s="9"/>
      <c r="R171" s="10" t="str">
        <f>HYPERLINK(_xlfn.CONCAT("https://mhmpl.sangamcrm.com/tickets/",Ticket3[[#This Row],[Id]]))</f>
        <v>https://mhmpl.sangamcrm.com/tickets/798209ce-1429-4a80-a921-9210eb9cd078</v>
      </c>
      <c r="S171" s="9" t="str">
        <f>_xlfn.CONCAT(Ticket3[[#This Row],[Account Name]]," ",Ticket3[[#This Row],[City]]," ",Ticket3[[#This Row],[Product Name]]," ",Ticket3[[#This Row],[Ticket Type]]," ")</f>
        <v xml:space="preserve">AARYA EYE CARE HOSPITAL Kunnamkulam SIRIUS+ PMS </v>
      </c>
    </row>
    <row r="172" spans="1:19" x14ac:dyDescent="0.25">
      <c r="A172" s="3">
        <v>42646</v>
      </c>
      <c r="B172" s="4" t="s">
        <v>2230</v>
      </c>
      <c r="C172" s="2">
        <v>46326</v>
      </c>
      <c r="D172" s="1" t="s">
        <v>2459</v>
      </c>
      <c r="E172" s="1" t="s">
        <v>2460</v>
      </c>
      <c r="F172" s="4" t="s">
        <v>2308</v>
      </c>
      <c r="G172" s="4" t="s">
        <v>555</v>
      </c>
      <c r="H172" s="4" t="s">
        <v>2234</v>
      </c>
      <c r="I172" s="4" t="s">
        <v>2235</v>
      </c>
      <c r="J172" t="s">
        <v>2462</v>
      </c>
      <c r="K172" s="1" t="s">
        <v>2237</v>
      </c>
      <c r="L172" s="1" t="s">
        <v>2283</v>
      </c>
      <c r="M172" s="1" t="s">
        <v>555</v>
      </c>
      <c r="N172" s="9">
        <v>46116</v>
      </c>
      <c r="O172" s="9">
        <v>45939</v>
      </c>
      <c r="P172" s="9">
        <v>45775</v>
      </c>
      <c r="Q172" s="9"/>
      <c r="R172" s="10" t="str">
        <f>HYPERLINK(_xlfn.CONCAT("https://mhmpl.sangamcrm.com/tickets/",Ticket3[[#This Row],[Id]]))</f>
        <v>https://mhmpl.sangamcrm.com/tickets/c1dbc580-4873-42f9-b151-5a20faf8e5c4</v>
      </c>
      <c r="S172" s="9" t="str">
        <f>_xlfn.CONCAT(Ticket3[[#This Row],[Account Name]]," ",Ticket3[[#This Row],[City]]," ",Ticket3[[#This Row],[Product Name]]," ",Ticket3[[#This Row],[Ticket Type]]," ")</f>
        <v xml:space="preserve">AARYA EYE CARE HOSPITAL Kunnamkulam PTS 2000 PMS </v>
      </c>
    </row>
    <row r="173" spans="1:19" x14ac:dyDescent="0.25">
      <c r="A173" s="3">
        <v>51530</v>
      </c>
      <c r="B173" s="4" t="s">
        <v>2230</v>
      </c>
      <c r="C173" s="2">
        <v>46356</v>
      </c>
      <c r="D173" s="1" t="s">
        <v>2804</v>
      </c>
      <c r="E173" s="1" t="s">
        <v>2805</v>
      </c>
      <c r="F173" s="4" t="s">
        <v>2286</v>
      </c>
      <c r="G173" s="4" t="s">
        <v>371</v>
      </c>
      <c r="H173" s="4" t="s">
        <v>2234</v>
      </c>
      <c r="I173" s="4" t="s">
        <v>2327</v>
      </c>
      <c r="J173" t="s">
        <v>2806</v>
      </c>
      <c r="K173" s="1" t="s">
        <v>2237</v>
      </c>
      <c r="L173" s="1" t="s">
        <v>2238</v>
      </c>
      <c r="M173" s="1" t="s">
        <v>371</v>
      </c>
      <c r="N173" s="9">
        <v>46134</v>
      </c>
      <c r="O173" s="9">
        <v>45993</v>
      </c>
      <c r="P173" s="9"/>
      <c r="Q173" s="9"/>
      <c r="R173" s="10" t="str">
        <f>HYPERLINK(_xlfn.CONCAT("https://mhmpl.sangamcrm.com/tickets/",Ticket3[[#This Row],[Id]]))</f>
        <v>https://mhmpl.sangamcrm.com/tickets/10e0b446-b1ed-4668-a180-9dfc97e147c2</v>
      </c>
      <c r="S173" s="9" t="str">
        <f>_xlfn.CONCAT(Ticket3[[#This Row],[Account Name]]," ",Ticket3[[#This Row],[City]]," ",Ticket3[[#This Row],[Product Name]]," ",Ticket3[[#This Row],[Ticket Type]]," ")</f>
        <v xml:space="preserve">SREE NARAYANA INSTITUTE OF MEDICAL SCIENCE Kunnukara REVO FC PMS </v>
      </c>
    </row>
    <row r="174" spans="1:19" x14ac:dyDescent="0.25">
      <c r="A174" s="3">
        <v>54585</v>
      </c>
      <c r="B174" s="4" t="s">
        <v>2329</v>
      </c>
      <c r="C174" s="2">
        <v>46269</v>
      </c>
      <c r="D174" s="1" t="s">
        <v>2466</v>
      </c>
      <c r="E174" s="1" t="s">
        <v>2465</v>
      </c>
      <c r="F174" s="4" t="s">
        <v>2269</v>
      </c>
      <c r="G174" s="4" t="s">
        <v>2205</v>
      </c>
      <c r="H174" s="4" t="s">
        <v>2330</v>
      </c>
      <c r="I174" s="4" t="s">
        <v>2407</v>
      </c>
      <c r="J174" t="s">
        <v>2467</v>
      </c>
      <c r="K174" s="1" t="s">
        <v>2260</v>
      </c>
      <c r="L174" s="1" t="s">
        <v>2251</v>
      </c>
      <c r="M174" s="1" t="s">
        <v>2205</v>
      </c>
      <c r="N174" s="9"/>
      <c r="O174" s="9"/>
      <c r="P174" s="9"/>
      <c r="Q174" s="9"/>
      <c r="R174" s="10" t="str">
        <f>HYPERLINK(_xlfn.CONCAT("https://mhmpl.sangamcrm.com/tickets/",Ticket3[[#This Row],[Id]]))</f>
        <v>https://mhmpl.sangamcrm.com/tickets/f349a511-e408-483f-8eca-5ad836a19832</v>
      </c>
      <c r="S174" s="9" t="str">
        <f>_xlfn.CONCAT(Ticket3[[#This Row],[Account Name]]," ",Ticket3[[#This Row],[City]]," ",Ticket3[[#This Row],[Product Name]]," ",Ticket3[[#This Row],[Ticket Type]]," ")</f>
        <v xml:space="preserve">Baba Eye Hospital Kurnool DGH 6000 Installation </v>
      </c>
    </row>
    <row r="175" spans="1:19" x14ac:dyDescent="0.25">
      <c r="A175" s="3">
        <v>43010</v>
      </c>
      <c r="B175" s="4" t="s">
        <v>2364</v>
      </c>
      <c r="C175" s="2">
        <v>46324</v>
      </c>
      <c r="D175" s="1" t="s">
        <v>2468</v>
      </c>
      <c r="E175" s="1" t="s">
        <v>2469</v>
      </c>
      <c r="F175" s="4" t="s">
        <v>2308</v>
      </c>
      <c r="G175" s="4" t="s">
        <v>237</v>
      </c>
      <c r="H175" s="4" t="s">
        <v>2234</v>
      </c>
      <c r="I175" s="4" t="s">
        <v>2348</v>
      </c>
      <c r="J175" t="s">
        <v>2470</v>
      </c>
      <c r="K175" s="1" t="s">
        <v>2244</v>
      </c>
      <c r="L175" s="1" t="s">
        <v>2251</v>
      </c>
      <c r="M175" s="1" t="s">
        <v>237</v>
      </c>
      <c r="N175" s="9">
        <v>46178</v>
      </c>
      <c r="O175" s="9">
        <v>46123</v>
      </c>
      <c r="P175" s="9"/>
      <c r="Q175" s="9"/>
      <c r="R175" s="10" t="str">
        <f>HYPERLINK(_xlfn.CONCAT("https://mhmpl.sangamcrm.com/tickets/",Ticket3[[#This Row],[Id]]))</f>
        <v>https://mhmpl.sangamcrm.com/tickets/dba55f73-2401-4dbd-b1d6-51ce8aaffbb7</v>
      </c>
      <c r="S175" s="9" t="str">
        <f>_xlfn.CONCAT(Ticket3[[#This Row],[Account Name]]," ",Ticket3[[#This Row],[City]]," ",Ticket3[[#This Row],[Product Name]]," ",Ticket3[[#This Row],[Ticket Type]]," ")</f>
        <v xml:space="preserve">LVPEI NEELAKANTAPURAM Madakasira, Sri Satya Sai District PTS 2000 PMS </v>
      </c>
    </row>
    <row r="176" spans="1:19" x14ac:dyDescent="0.25">
      <c r="A176" s="3">
        <v>51649</v>
      </c>
      <c r="B176" s="4" t="s">
        <v>2258</v>
      </c>
      <c r="C176" s="2">
        <v>46356</v>
      </c>
      <c r="D176" s="1" t="s">
        <v>2727</v>
      </c>
      <c r="E176" s="1" t="s">
        <v>2728</v>
      </c>
      <c r="F176" s="4" t="s">
        <v>2351</v>
      </c>
      <c r="G176" s="4" t="s">
        <v>72</v>
      </c>
      <c r="H176" s="4" t="s">
        <v>2234</v>
      </c>
      <c r="I176" s="4" t="s">
        <v>2281</v>
      </c>
      <c r="J176" t="s">
        <v>2729</v>
      </c>
      <c r="K176" s="1" t="s">
        <v>2266</v>
      </c>
      <c r="L176" s="1" t="s">
        <v>2238</v>
      </c>
      <c r="M176" s="1" t="s">
        <v>72</v>
      </c>
      <c r="N176" s="9"/>
      <c r="O176" s="9"/>
      <c r="P176" s="9"/>
      <c r="Q176" s="9"/>
      <c r="R176" s="10" t="str">
        <f>HYPERLINK(_xlfn.CONCAT("https://mhmpl.sangamcrm.com/tickets/",Ticket3[[#This Row],[Id]]))</f>
        <v>https://mhmpl.sangamcrm.com/tickets/ec7fa336-1b67-460b-9f05-3785280fa87b</v>
      </c>
      <c r="S176" s="9" t="str">
        <f>_xlfn.CONCAT(Ticket3[[#This Row],[Account Name]]," ",Ticket3[[#This Row],[City]]," ",Ticket3[[#This Row],[Product Name]]," ",Ticket3[[#This Row],[Ticket Type]]," ")</f>
        <v xml:space="preserve">Iksha eye hospital madikeri Madikeri SIRIUS+ PMS </v>
      </c>
    </row>
    <row r="177" spans="1:19" x14ac:dyDescent="0.25">
      <c r="A177" s="3">
        <v>48195</v>
      </c>
      <c r="B177" s="4" t="s">
        <v>2230</v>
      </c>
      <c r="C177" s="2">
        <v>46356</v>
      </c>
      <c r="D177" s="1" t="s">
        <v>2381</v>
      </c>
      <c r="E177" s="1" t="s">
        <v>2932</v>
      </c>
      <c r="F177" s="4" t="s">
        <v>2933</v>
      </c>
      <c r="G177" s="4" t="s">
        <v>1582</v>
      </c>
      <c r="H177" s="4" t="s">
        <v>2234</v>
      </c>
      <c r="I177" s="4" t="s">
        <v>2255</v>
      </c>
      <c r="J177" t="s">
        <v>2934</v>
      </c>
      <c r="K177" s="1" t="s">
        <v>2257</v>
      </c>
      <c r="L177" s="1" t="s">
        <v>2238</v>
      </c>
      <c r="M177" s="1" t="s">
        <v>1582</v>
      </c>
      <c r="N177" s="9">
        <v>46156</v>
      </c>
      <c r="O177" s="9">
        <v>45854</v>
      </c>
      <c r="P177" s="9">
        <v>45687</v>
      </c>
      <c r="Q177" s="9">
        <v>45630</v>
      </c>
      <c r="R177" s="10" t="str">
        <f>HYPERLINK(_xlfn.CONCAT("https://mhmpl.sangamcrm.com/tickets/",Ticket3[[#This Row],[Id]]))</f>
        <v>https://mhmpl.sangamcrm.com/tickets/a4a26f0e-b7f2-4b02-9013-b4c1a04383e1</v>
      </c>
      <c r="S177" s="9" t="str">
        <f>_xlfn.CONCAT(Ticket3[[#This Row],[Account Name]]," ",Ticket3[[#This Row],[City]]," ",Ticket3[[#This Row],[Product Name]]," ",Ticket3[[#This Row],[Ticket Type]]," ")</f>
        <v xml:space="preserve">ARAVIND EYE HOSPITAL MADURAI UD-800 PMS </v>
      </c>
    </row>
    <row r="178" spans="1:19" x14ac:dyDescent="0.25">
      <c r="A178" s="3">
        <v>48189</v>
      </c>
      <c r="B178" s="4" t="s">
        <v>2230</v>
      </c>
      <c r="C178" s="2">
        <v>46356</v>
      </c>
      <c r="D178" s="1" t="s">
        <v>2381</v>
      </c>
      <c r="E178" s="1" t="s">
        <v>2932</v>
      </c>
      <c r="F178" s="4" t="s">
        <v>2935</v>
      </c>
      <c r="G178" s="4" t="s">
        <v>1583</v>
      </c>
      <c r="H178" s="4" t="s">
        <v>2234</v>
      </c>
      <c r="I178" s="4" t="s">
        <v>2255</v>
      </c>
      <c r="J178" t="s">
        <v>2936</v>
      </c>
      <c r="K178" s="1" t="s">
        <v>2257</v>
      </c>
      <c r="L178" s="1" t="s">
        <v>2238</v>
      </c>
      <c r="M178" s="1" t="s">
        <v>1583</v>
      </c>
      <c r="N178" s="9">
        <v>46156</v>
      </c>
      <c r="O178" s="9">
        <v>45467</v>
      </c>
      <c r="P178" s="9">
        <v>45255</v>
      </c>
      <c r="Q178" s="9">
        <v>45141</v>
      </c>
      <c r="R178" s="10" t="str">
        <f>HYPERLINK(_xlfn.CONCAT("https://mhmpl.sangamcrm.com/tickets/",Ticket3[[#This Row],[Id]]))</f>
        <v>https://mhmpl.sangamcrm.com/tickets/ac8610ff-f0a0-4f67-89e1-e1eae50b0ec2</v>
      </c>
      <c r="S178" s="9" t="str">
        <f>_xlfn.CONCAT(Ticket3[[#This Row],[Account Name]]," ",Ticket3[[#This Row],[City]]," ",Ticket3[[#This Row],[Product Name]]," ",Ticket3[[#This Row],[Ticket Type]]," ")</f>
        <v xml:space="preserve">ARAVIND EYE HOSPITAL MADURAI SL9900 ELITE PMS </v>
      </c>
    </row>
    <row r="179" spans="1:19" x14ac:dyDescent="0.25">
      <c r="A179" s="3">
        <v>48124</v>
      </c>
      <c r="B179" s="4" t="s">
        <v>2230</v>
      </c>
      <c r="C179" s="2">
        <v>46356</v>
      </c>
      <c r="D179" s="1" t="s">
        <v>2381</v>
      </c>
      <c r="E179" s="1" t="s">
        <v>2932</v>
      </c>
      <c r="F179" s="4" t="s">
        <v>2383</v>
      </c>
      <c r="G179" s="4" t="s">
        <v>2098</v>
      </c>
      <c r="H179" s="4" t="s">
        <v>2234</v>
      </c>
      <c r="I179" s="4" t="s">
        <v>2255</v>
      </c>
      <c r="J179" t="s">
        <v>2975</v>
      </c>
      <c r="K179" s="1" t="s">
        <v>2257</v>
      </c>
      <c r="L179" s="1" t="s">
        <v>2238</v>
      </c>
      <c r="M179" s="1" t="s">
        <v>2098</v>
      </c>
      <c r="N179" s="9">
        <v>46156</v>
      </c>
      <c r="O179" s="9">
        <v>45854</v>
      </c>
      <c r="P179" s="9">
        <v>45688</v>
      </c>
      <c r="Q179" s="9">
        <v>45255</v>
      </c>
      <c r="R179" s="10" t="str">
        <f>HYPERLINK(_xlfn.CONCAT("https://mhmpl.sangamcrm.com/tickets/",Ticket3[[#This Row],[Id]]))</f>
        <v>https://mhmpl.sangamcrm.com/tickets/5b60344d-7d7e-47cc-b7b4-686be5491b7e</v>
      </c>
      <c r="S179" s="9" t="str">
        <f>_xlfn.CONCAT(Ticket3[[#This Row],[Account Name]]," ",Ticket3[[#This Row],[City]]," ",Ticket3[[#This Row],[Product Name]]," ",Ticket3[[#This Row],[Ticket Type]]," ")</f>
        <v xml:space="preserve">ARAVIND EYE HOSPITAL MADURAI HS-1321 PMS </v>
      </c>
    </row>
    <row r="180" spans="1:19" x14ac:dyDescent="0.25">
      <c r="A180" s="3">
        <v>49286</v>
      </c>
      <c r="B180" s="4" t="s">
        <v>2230</v>
      </c>
      <c r="C180" s="2">
        <v>46356</v>
      </c>
      <c r="D180" s="1" t="s">
        <v>2381</v>
      </c>
      <c r="E180" s="1" t="s">
        <v>2932</v>
      </c>
      <c r="F180" s="4" t="s">
        <v>2506</v>
      </c>
      <c r="G180" s="4" t="s">
        <v>2122</v>
      </c>
      <c r="H180" s="4" t="s">
        <v>2234</v>
      </c>
      <c r="I180" s="4" t="s">
        <v>2257</v>
      </c>
      <c r="J180" t="s">
        <v>2976</v>
      </c>
      <c r="K180" s="1" t="s">
        <v>2257</v>
      </c>
      <c r="L180" s="1" t="s">
        <v>2238</v>
      </c>
      <c r="M180" s="1" t="s">
        <v>2122</v>
      </c>
      <c r="N180" s="9">
        <v>46196</v>
      </c>
      <c r="O180" s="9">
        <v>45997</v>
      </c>
      <c r="P180" s="9">
        <v>45854</v>
      </c>
      <c r="Q180" s="9">
        <v>45630</v>
      </c>
      <c r="R180" s="10" t="str">
        <f>HYPERLINK(_xlfn.CONCAT("https://mhmpl.sangamcrm.com/tickets/",Ticket3[[#This Row],[Id]]))</f>
        <v>https://mhmpl.sangamcrm.com/tickets/a9947071-28e0-4b2b-854e-831c2892d8da</v>
      </c>
      <c r="S180" s="9" t="str">
        <f>_xlfn.CONCAT(Ticket3[[#This Row],[Account Name]]," ",Ticket3[[#This Row],[City]]," ",Ticket3[[#This Row],[Product Name]]," ",Ticket3[[#This Row],[Ticket Type]]," ")</f>
        <v xml:space="preserve">ARAVIND EYE HOSPITAL MADURAI EVOLUTION 3 PMS </v>
      </c>
    </row>
    <row r="181" spans="1:19" x14ac:dyDescent="0.25">
      <c r="A181" s="3">
        <v>45657</v>
      </c>
      <c r="B181" s="4" t="s">
        <v>2230</v>
      </c>
      <c r="C181" s="2">
        <v>46356</v>
      </c>
      <c r="D181" s="1" t="s">
        <v>2797</v>
      </c>
      <c r="E181" s="1" t="s">
        <v>2798</v>
      </c>
      <c r="F181" s="4" t="s">
        <v>2241</v>
      </c>
      <c r="G181" s="4" t="s">
        <v>217</v>
      </c>
      <c r="H181" s="4" t="s">
        <v>2234</v>
      </c>
      <c r="I181" s="4" t="s">
        <v>2400</v>
      </c>
      <c r="J181" t="s">
        <v>2799</v>
      </c>
      <c r="K181" s="1" t="s">
        <v>2260</v>
      </c>
      <c r="L181" s="1" t="s">
        <v>2238</v>
      </c>
      <c r="M181" s="1" t="s">
        <v>217</v>
      </c>
      <c r="N181" s="9">
        <v>46213</v>
      </c>
      <c r="O181" s="9"/>
      <c r="P181" s="9"/>
      <c r="Q181" s="9"/>
      <c r="R181" s="10" t="str">
        <f>HYPERLINK(_xlfn.CONCAT("https://mhmpl.sangamcrm.com/tickets/",Ticket3[[#This Row],[Id]]))</f>
        <v>https://mhmpl.sangamcrm.com/tickets/abbf8ae3-9308-45d3-863c-68cefa712a9f</v>
      </c>
      <c r="S181" s="9" t="str">
        <f>_xlfn.CONCAT(Ticket3[[#This Row],[Account Name]]," ",Ticket3[[#This Row],[City]]," ",Ticket3[[#This Row],[Product Name]]," ",Ticket3[[#This Row],[Ticket Type]]," ")</f>
        <v xml:space="preserve">Agarwal Eye Hospital(Mahaboob Nagar) Mahabubnagar TMS-4N PMS </v>
      </c>
    </row>
    <row r="182" spans="1:19" x14ac:dyDescent="0.25">
      <c r="A182" s="3">
        <v>53673</v>
      </c>
      <c r="B182" s="4" t="s">
        <v>2230</v>
      </c>
      <c r="C182" s="2">
        <v>46356</v>
      </c>
      <c r="D182" s="1" t="s">
        <v>2759</v>
      </c>
      <c r="E182" s="1" t="s">
        <v>2472</v>
      </c>
      <c r="F182" s="4" t="s">
        <v>2286</v>
      </c>
      <c r="G182" s="4" t="s">
        <v>66</v>
      </c>
      <c r="H182" s="4" t="s">
        <v>2234</v>
      </c>
      <c r="I182" s="4" t="s">
        <v>2237</v>
      </c>
      <c r="J182" t="s">
        <v>2760</v>
      </c>
      <c r="K182" s="1" t="s">
        <v>2237</v>
      </c>
      <c r="L182" s="1" t="s">
        <v>2238</v>
      </c>
      <c r="M182" s="1" t="s">
        <v>66</v>
      </c>
      <c r="N182" s="9"/>
      <c r="O182" s="9"/>
      <c r="P182" s="9"/>
      <c r="Q182" s="9"/>
      <c r="R182" s="10" t="str">
        <f>HYPERLINK(_xlfn.CONCAT("https://mhmpl.sangamcrm.com/tickets/",Ticket3[[#This Row],[Id]]))</f>
        <v>https://mhmpl.sangamcrm.com/tickets/2fe9dfdd-8292-4763-8cac-f513e5743417</v>
      </c>
      <c r="S182" s="9" t="str">
        <f>_xlfn.CONCAT(Ticket3[[#This Row],[Account Name]]," ",Ticket3[[#This Row],[City]]," ",Ticket3[[#This Row],[Product Name]]," ",Ticket3[[#This Row],[Ticket Type]]," ")</f>
        <v xml:space="preserve">Kottakkal Eye Care Llp Malappuram REVO FC PMS </v>
      </c>
    </row>
    <row r="183" spans="1:19" x14ac:dyDescent="0.25">
      <c r="A183" s="3">
        <v>55827</v>
      </c>
      <c r="B183" s="4" t="s">
        <v>2312</v>
      </c>
      <c r="C183" s="2">
        <v>46298</v>
      </c>
      <c r="D183" s="1" t="s">
        <v>2471</v>
      </c>
      <c r="E183" s="1" t="s">
        <v>2472</v>
      </c>
      <c r="F183" s="4" t="s">
        <v>2308</v>
      </c>
      <c r="G183" s="4" t="s">
        <v>2473</v>
      </c>
      <c r="H183" s="4" t="s">
        <v>2249</v>
      </c>
      <c r="I183" s="4" t="s">
        <v>2327</v>
      </c>
      <c r="J183" t="s">
        <v>2474</v>
      </c>
      <c r="K183" s="1" t="s">
        <v>2237</v>
      </c>
      <c r="L183" s="1" t="s">
        <v>2251</v>
      </c>
      <c r="M183" s="1"/>
      <c r="N183" s="9"/>
      <c r="O183" s="9"/>
      <c r="P183" s="9"/>
      <c r="Q183" s="9"/>
      <c r="R183" s="10" t="str">
        <f>HYPERLINK(_xlfn.CONCAT("https://mhmpl.sangamcrm.com/tickets/",Ticket3[[#This Row],[Id]]))</f>
        <v>https://mhmpl.sangamcrm.com/tickets/721334cc-1598-41e5-add4-38f60bb921ff</v>
      </c>
      <c r="S183" s="9" t="str">
        <f>_xlfn.CONCAT(Ticket3[[#This Row],[Account Name]]," ",Ticket3[[#This Row],[City]]," ",Ticket3[[#This Row],[Product Name]]," ",Ticket3[[#This Row],[Ticket Type]]," ")</f>
        <v xml:space="preserve">Ahalia Foundation Eye Hospital Kottakkal Malappuram PTS 2000 Service </v>
      </c>
    </row>
    <row r="184" spans="1:19" x14ac:dyDescent="0.25">
      <c r="A184" s="3">
        <v>51651</v>
      </c>
      <c r="B184" s="4" t="s">
        <v>2230</v>
      </c>
      <c r="C184" s="2">
        <v>46356</v>
      </c>
      <c r="D184" s="1" t="s">
        <v>2475</v>
      </c>
      <c r="E184" s="1" t="s">
        <v>2476</v>
      </c>
      <c r="F184" s="4" t="s">
        <v>2351</v>
      </c>
      <c r="G184" s="4" t="s">
        <v>59</v>
      </c>
      <c r="H184" s="4" t="s">
        <v>2234</v>
      </c>
      <c r="I184" s="4" t="s">
        <v>2271</v>
      </c>
      <c r="J184" t="s">
        <v>2749</v>
      </c>
      <c r="K184" s="1" t="s">
        <v>2266</v>
      </c>
      <c r="L184" s="1" t="s">
        <v>2238</v>
      </c>
      <c r="M184" s="1" t="s">
        <v>59</v>
      </c>
      <c r="N184" s="9"/>
      <c r="O184" s="9"/>
      <c r="P184" s="9"/>
      <c r="Q184" s="9"/>
      <c r="R184" s="10" t="str">
        <f>HYPERLINK(_xlfn.CONCAT("https://mhmpl.sangamcrm.com/tickets/",Ticket3[[#This Row],[Id]]))</f>
        <v>https://mhmpl.sangamcrm.com/tickets/4254d2ff-76ca-42f4-a0c7-d042725fa9a7</v>
      </c>
      <c r="S184" s="9" t="str">
        <f>_xlfn.CONCAT(Ticket3[[#This Row],[Account Name]]," ",Ticket3[[#This Row],[City]]," ",Ticket3[[#This Row],[Product Name]]," ",Ticket3[[#This Row],[Ticket Type]]," ")</f>
        <v xml:space="preserve">Adichunchanagiri Hospital &amp; Research Centre Mandya SIRIUS+ PMS </v>
      </c>
    </row>
    <row r="185" spans="1:19" x14ac:dyDescent="0.25">
      <c r="A185" s="3">
        <v>51652</v>
      </c>
      <c r="B185" s="4" t="s">
        <v>2230</v>
      </c>
      <c r="C185" s="2">
        <v>46356</v>
      </c>
      <c r="D185" s="1" t="s">
        <v>2475</v>
      </c>
      <c r="E185" s="1" t="s">
        <v>2476</v>
      </c>
      <c r="F185" s="4" t="s">
        <v>2351</v>
      </c>
      <c r="G185" s="4" t="s">
        <v>59</v>
      </c>
      <c r="H185" s="4" t="s">
        <v>2234</v>
      </c>
      <c r="I185" s="4" t="s">
        <v>2271</v>
      </c>
      <c r="J185" t="s">
        <v>2750</v>
      </c>
      <c r="K185" s="1" t="s">
        <v>2266</v>
      </c>
      <c r="L185" s="1" t="s">
        <v>2238</v>
      </c>
      <c r="M185" s="1" t="s">
        <v>59</v>
      </c>
      <c r="N185" s="9"/>
      <c r="O185" s="9"/>
      <c r="P185" s="9"/>
      <c r="Q185" s="9"/>
      <c r="R185" s="10" t="str">
        <f>HYPERLINK(_xlfn.CONCAT("https://mhmpl.sangamcrm.com/tickets/",Ticket3[[#This Row],[Id]]))</f>
        <v>https://mhmpl.sangamcrm.com/tickets/8ee3ebbe-81cc-439f-8f2b-427846f64494</v>
      </c>
      <c r="S185" s="9" t="str">
        <f>_xlfn.CONCAT(Ticket3[[#This Row],[Account Name]]," ",Ticket3[[#This Row],[City]]," ",Ticket3[[#This Row],[Product Name]]," ",Ticket3[[#This Row],[Ticket Type]]," ")</f>
        <v xml:space="preserve">Adichunchanagiri Hospital &amp; Research Centre Mandya SIRIUS+ PMS </v>
      </c>
    </row>
    <row r="186" spans="1:19" x14ac:dyDescent="0.25">
      <c r="A186" s="3">
        <v>43413</v>
      </c>
      <c r="B186" s="4" t="s">
        <v>2230</v>
      </c>
      <c r="C186" s="2">
        <v>46326</v>
      </c>
      <c r="D186" s="1" t="s">
        <v>2475</v>
      </c>
      <c r="E186" s="1" t="s">
        <v>2476</v>
      </c>
      <c r="F186" s="4" t="s">
        <v>2275</v>
      </c>
      <c r="G186" s="4" t="s">
        <v>230</v>
      </c>
      <c r="H186" s="4" t="s">
        <v>2234</v>
      </c>
      <c r="I186" s="4" t="s">
        <v>2266</v>
      </c>
      <c r="J186" t="s">
        <v>2477</v>
      </c>
      <c r="K186" s="1" t="s">
        <v>2266</v>
      </c>
      <c r="L186" s="1" t="s">
        <v>2283</v>
      </c>
      <c r="M186" s="1" t="s">
        <v>230</v>
      </c>
      <c r="N186" s="9">
        <v>46205</v>
      </c>
      <c r="O186" s="9"/>
      <c r="P186" s="9"/>
      <c r="Q186" s="9"/>
      <c r="R186" s="10" t="str">
        <f>HYPERLINK(_xlfn.CONCAT("https://mhmpl.sangamcrm.com/tickets/",Ticket3[[#This Row],[Id]]))</f>
        <v>https://mhmpl.sangamcrm.com/tickets/3d782b0e-3f5a-4bbf-abea-cca8303ad00f</v>
      </c>
      <c r="S186" s="9" t="str">
        <f>_xlfn.CONCAT(Ticket3[[#This Row],[Account Name]]," ",Ticket3[[#This Row],[City]]," ",Ticket3[[#This Row],[Product Name]]," ",Ticket3[[#This Row],[Ticket Type]]," ")</f>
        <v xml:space="preserve">Adichunchanagiri Hospital &amp; Research Centre Mandya EM-4000 PMS </v>
      </c>
    </row>
    <row r="187" spans="1:19" x14ac:dyDescent="0.25">
      <c r="A187" s="3">
        <v>40286</v>
      </c>
      <c r="B187" s="4" t="s">
        <v>2230</v>
      </c>
      <c r="C187" s="2">
        <v>46346</v>
      </c>
      <c r="D187" s="1" t="s">
        <v>2478</v>
      </c>
      <c r="E187" s="1" t="s">
        <v>2479</v>
      </c>
      <c r="F187" s="4" t="s">
        <v>2351</v>
      </c>
      <c r="G187" s="4" t="s">
        <v>597</v>
      </c>
      <c r="H187" s="4" t="s">
        <v>2234</v>
      </c>
      <c r="I187" s="4" t="s">
        <v>2242</v>
      </c>
      <c r="J187" t="s">
        <v>2480</v>
      </c>
      <c r="K187" s="1" t="s">
        <v>2244</v>
      </c>
      <c r="L187" s="1" t="s">
        <v>2238</v>
      </c>
      <c r="M187" s="1" t="s">
        <v>597</v>
      </c>
      <c r="N187" s="9">
        <v>46234</v>
      </c>
      <c r="O187" s="9">
        <v>46158</v>
      </c>
      <c r="P187" s="9">
        <v>46093</v>
      </c>
      <c r="Q187" s="9">
        <v>45985</v>
      </c>
      <c r="R187" s="10" t="str">
        <f>HYPERLINK(_xlfn.CONCAT("https://mhmpl.sangamcrm.com/tickets/",Ticket3[[#This Row],[Id]]))</f>
        <v>https://mhmpl.sangamcrm.com/tickets/e6375ee1-ce75-4724-80e5-4da6f45f013f</v>
      </c>
      <c r="S187" s="9" t="str">
        <f>_xlfn.CONCAT(Ticket3[[#This Row],[Account Name]]," ",Ticket3[[#This Row],[City]]," ",Ticket3[[#This Row],[Product Name]]," ",Ticket3[[#This Row],[Ticket Type]]," ")</f>
        <v xml:space="preserve">AIIMS Mangalagiri Mangalagiri. SIRIUS+ PMS </v>
      </c>
    </row>
    <row r="188" spans="1:19" x14ac:dyDescent="0.25">
      <c r="A188" s="3">
        <v>51771</v>
      </c>
      <c r="B188" s="4" t="s">
        <v>2230</v>
      </c>
      <c r="C188" s="2">
        <v>46356</v>
      </c>
      <c r="D188" s="1" t="s">
        <v>2481</v>
      </c>
      <c r="E188" s="1" t="s">
        <v>2482</v>
      </c>
      <c r="F188" s="4" t="s">
        <v>2809</v>
      </c>
      <c r="G188" s="4" t="s">
        <v>787</v>
      </c>
      <c r="H188" s="4" t="s">
        <v>2234</v>
      </c>
      <c r="I188" s="4" t="s">
        <v>2271</v>
      </c>
      <c r="J188" t="s">
        <v>2856</v>
      </c>
      <c r="K188" s="1" t="s">
        <v>2266</v>
      </c>
      <c r="L188" s="1" t="s">
        <v>2238</v>
      </c>
      <c r="M188" s="1" t="s">
        <v>787</v>
      </c>
      <c r="N188" s="9">
        <v>46206</v>
      </c>
      <c r="O188" s="9">
        <v>46156</v>
      </c>
      <c r="P188" s="9">
        <v>46014</v>
      </c>
      <c r="Q188" s="9">
        <v>45800</v>
      </c>
      <c r="R188" s="10" t="str">
        <f>HYPERLINK(_xlfn.CONCAT("https://mhmpl.sangamcrm.com/tickets/",Ticket3[[#This Row],[Id]]))</f>
        <v>https://mhmpl.sangamcrm.com/tickets/132f0bd4-41fa-49de-9ed5-cd4988f34c33</v>
      </c>
      <c r="S188" s="9" t="str">
        <f>_xlfn.CONCAT(Ticket3[[#This Row],[Account Name]]," ",Ticket3[[#This Row],[City]]," ",Ticket3[[#This Row],[Product Name]]," ",Ticket3[[#This Row],[Ticket Type]]," ")</f>
        <v xml:space="preserve">NETHRADHAMA mangalore MANGALORE HS-60SL PMS </v>
      </c>
    </row>
    <row r="189" spans="1:19" x14ac:dyDescent="0.25">
      <c r="A189" s="3">
        <v>51772</v>
      </c>
      <c r="B189" s="4" t="s">
        <v>2230</v>
      </c>
      <c r="C189" s="2">
        <v>46356</v>
      </c>
      <c r="D189" s="1" t="s">
        <v>2481</v>
      </c>
      <c r="E189" s="1" t="s">
        <v>2482</v>
      </c>
      <c r="F189" s="4" t="s">
        <v>2809</v>
      </c>
      <c r="G189" s="4" t="s">
        <v>787</v>
      </c>
      <c r="H189" s="4" t="s">
        <v>2234</v>
      </c>
      <c r="I189" s="4" t="s">
        <v>2271</v>
      </c>
      <c r="J189" t="s">
        <v>2857</v>
      </c>
      <c r="K189" s="1" t="s">
        <v>2266</v>
      </c>
      <c r="L189" s="1" t="s">
        <v>2238</v>
      </c>
      <c r="M189" s="1" t="s">
        <v>787</v>
      </c>
      <c r="N189" s="9">
        <v>46206</v>
      </c>
      <c r="O189" s="9">
        <v>46156</v>
      </c>
      <c r="P189" s="9">
        <v>46014</v>
      </c>
      <c r="Q189" s="9">
        <v>45800</v>
      </c>
      <c r="R189" s="10" t="str">
        <f>HYPERLINK(_xlfn.CONCAT("https://mhmpl.sangamcrm.com/tickets/",Ticket3[[#This Row],[Id]]))</f>
        <v>https://mhmpl.sangamcrm.com/tickets/935ffdef-1857-48dc-aca3-c187ec6fdd78</v>
      </c>
      <c r="S189" s="9" t="str">
        <f>_xlfn.CONCAT(Ticket3[[#This Row],[Account Name]]," ",Ticket3[[#This Row],[City]]," ",Ticket3[[#This Row],[Product Name]]," ",Ticket3[[#This Row],[Ticket Type]]," ")</f>
        <v xml:space="preserve">NETHRADHAMA mangalore MANGALORE HS-60SL PMS </v>
      </c>
    </row>
    <row r="190" spans="1:19" x14ac:dyDescent="0.25">
      <c r="A190" s="3">
        <v>51705</v>
      </c>
      <c r="B190" s="4" t="s">
        <v>2230</v>
      </c>
      <c r="C190" s="2">
        <v>46326</v>
      </c>
      <c r="D190" s="1" t="s">
        <v>2481</v>
      </c>
      <c r="E190" s="1" t="s">
        <v>2482</v>
      </c>
      <c r="F190" s="4" t="s">
        <v>2333</v>
      </c>
      <c r="G190" s="4" t="s">
        <v>1081</v>
      </c>
      <c r="H190" s="4" t="s">
        <v>2234</v>
      </c>
      <c r="I190" s="4" t="s">
        <v>2271</v>
      </c>
      <c r="J190" t="s">
        <v>2483</v>
      </c>
      <c r="K190" s="1" t="s">
        <v>2266</v>
      </c>
      <c r="L190" s="1" t="s">
        <v>2283</v>
      </c>
      <c r="M190" s="1" t="s">
        <v>1081</v>
      </c>
      <c r="N190" s="9">
        <v>45800</v>
      </c>
      <c r="O190" s="9">
        <v>45613</v>
      </c>
      <c r="P190" s="9">
        <v>45449</v>
      </c>
      <c r="Q190" s="9">
        <v>45294</v>
      </c>
      <c r="R190" s="10" t="str">
        <f>HYPERLINK(_xlfn.CONCAT("https://mhmpl.sangamcrm.com/tickets/",Ticket3[[#This Row],[Id]]))</f>
        <v>https://mhmpl.sangamcrm.com/tickets/437b81df-0274-4138-9cd3-1d018b341924</v>
      </c>
      <c r="S190" s="9" t="str">
        <f>_xlfn.CONCAT(Ticket3[[#This Row],[Account Name]]," ",Ticket3[[#This Row],[City]]," ",Ticket3[[#This Row],[Product Name]]," ",Ticket3[[#This Row],[Ticket Type]]," ")</f>
        <v xml:space="preserve">NETHRADHAMA mangalore MANGALORE Enbio PRO PMS </v>
      </c>
    </row>
    <row r="191" spans="1:19" x14ac:dyDescent="0.25">
      <c r="A191" s="3">
        <v>53701</v>
      </c>
      <c r="B191" s="4" t="s">
        <v>2230</v>
      </c>
      <c r="C191" s="2">
        <v>46326</v>
      </c>
      <c r="D191" s="1" t="s">
        <v>2484</v>
      </c>
      <c r="E191" s="1" t="s">
        <v>2482</v>
      </c>
      <c r="F191" s="4" t="s">
        <v>2284</v>
      </c>
      <c r="G191" s="4" t="s">
        <v>1864</v>
      </c>
      <c r="H191" s="4" t="s">
        <v>2234</v>
      </c>
      <c r="I191" s="4" t="s">
        <v>2281</v>
      </c>
      <c r="J191" t="s">
        <v>2485</v>
      </c>
      <c r="K191" s="1" t="s">
        <v>2266</v>
      </c>
      <c r="L191" s="1" t="s">
        <v>2283</v>
      </c>
      <c r="M191" s="1" t="s">
        <v>1864</v>
      </c>
      <c r="N191" s="9">
        <v>46270</v>
      </c>
      <c r="O191" s="9"/>
      <c r="P191" s="9"/>
      <c r="Q191" s="9"/>
      <c r="R191" s="10" t="str">
        <f>HYPERLINK(_xlfn.CONCAT("https://mhmpl.sangamcrm.com/tickets/",Ticket3[[#This Row],[Id]]))</f>
        <v>https://mhmpl.sangamcrm.com/tickets/3551b758-4748-4fc5-8129-19853b0d8aad</v>
      </c>
      <c r="S191" s="9" t="str">
        <f>_xlfn.CONCAT(Ticket3[[#This Row],[Account Name]]," ",Ticket3[[#This Row],[City]]," ",Ticket3[[#This Row],[Product Name]]," ",Ticket3[[#This Row],[Ticket Type]]," ")</f>
        <v xml:space="preserve">AJ MEDICAL COLLEGE HOSPITAL MANGALORE OA-2000 PMS </v>
      </c>
    </row>
    <row r="192" spans="1:19" x14ac:dyDescent="0.25">
      <c r="A192" s="3">
        <v>45044</v>
      </c>
      <c r="B192" s="4" t="s">
        <v>2230</v>
      </c>
      <c r="C192" s="2">
        <v>46356</v>
      </c>
      <c r="D192" s="1" t="s">
        <v>2481</v>
      </c>
      <c r="E192" s="1" t="s">
        <v>2482</v>
      </c>
      <c r="F192" s="4" t="s">
        <v>2486</v>
      </c>
      <c r="G192" s="4" t="s">
        <v>2027</v>
      </c>
      <c r="H192" s="4" t="s">
        <v>2234</v>
      </c>
      <c r="I192" s="4" t="s">
        <v>2271</v>
      </c>
      <c r="J192" t="s">
        <v>2973</v>
      </c>
      <c r="K192" s="1" t="s">
        <v>2266</v>
      </c>
      <c r="L192" s="1" t="s">
        <v>2238</v>
      </c>
      <c r="M192" s="1" t="s">
        <v>2027</v>
      </c>
      <c r="N192" s="9">
        <v>46150</v>
      </c>
      <c r="O192" s="9">
        <v>46024</v>
      </c>
      <c r="P192" s="9">
        <v>45635</v>
      </c>
      <c r="Q192" s="9">
        <v>45465</v>
      </c>
      <c r="R192" s="10" t="str">
        <f>HYPERLINK(_xlfn.CONCAT("https://mhmpl.sangamcrm.com/tickets/",Ticket3[[#This Row],[Id]]))</f>
        <v>https://mhmpl.sangamcrm.com/tickets/d96e25f7-5c43-44f0-87ef-afb9439849d0</v>
      </c>
      <c r="S192" s="9" t="str">
        <f>_xlfn.CONCAT(Ticket3[[#This Row],[Account Name]]," ",Ticket3[[#This Row],[City]]," ",Ticket3[[#This Row],[Product Name]]," ",Ticket3[[#This Row],[Ticket Type]]," ")</f>
        <v xml:space="preserve">NETHRADHAMA mangalore MANGALORE HS-1606VD PMS </v>
      </c>
    </row>
    <row r="193" spans="1:19" x14ac:dyDescent="0.25">
      <c r="A193" s="3">
        <v>45045</v>
      </c>
      <c r="B193" s="4" t="s">
        <v>2230</v>
      </c>
      <c r="C193" s="2">
        <v>46326</v>
      </c>
      <c r="D193" s="1" t="s">
        <v>2481</v>
      </c>
      <c r="E193" s="1" t="s">
        <v>2482</v>
      </c>
      <c r="F193" s="4" t="s">
        <v>2486</v>
      </c>
      <c r="G193" s="4" t="s">
        <v>2119</v>
      </c>
      <c r="H193" s="4" t="s">
        <v>2234</v>
      </c>
      <c r="I193" s="4" t="s">
        <v>2271</v>
      </c>
      <c r="J193" t="s">
        <v>2487</v>
      </c>
      <c r="K193" s="1" t="s">
        <v>2266</v>
      </c>
      <c r="L193" s="1" t="s">
        <v>2283</v>
      </c>
      <c r="M193" s="1" t="s">
        <v>2119</v>
      </c>
      <c r="N193" s="9">
        <v>46078</v>
      </c>
      <c r="O193" s="9">
        <v>46077</v>
      </c>
      <c r="P193" s="9">
        <v>45804</v>
      </c>
      <c r="Q193" s="9">
        <v>45449</v>
      </c>
      <c r="R193" s="10" t="str">
        <f>HYPERLINK(_xlfn.CONCAT("https://mhmpl.sangamcrm.com/tickets/",Ticket3[[#This Row],[Id]]))</f>
        <v>https://mhmpl.sangamcrm.com/tickets/94f10320-ad9c-4af2-8680-473f0b4f9399</v>
      </c>
      <c r="S193" s="9" t="str">
        <f>_xlfn.CONCAT(Ticket3[[#This Row],[Account Name]]," ",Ticket3[[#This Row],[City]]," ",Ticket3[[#This Row],[Product Name]]," ",Ticket3[[#This Row],[Ticket Type]]," ")</f>
        <v xml:space="preserve">NETHRADHAMA mangalore MANGALORE HS-1606VD PMS </v>
      </c>
    </row>
    <row r="194" spans="1:19" x14ac:dyDescent="0.25">
      <c r="A194" s="3">
        <v>57027</v>
      </c>
      <c r="B194" s="4" t="s">
        <v>2261</v>
      </c>
      <c r="C194" s="2">
        <v>46324</v>
      </c>
      <c r="D194" s="1" t="s">
        <v>2695</v>
      </c>
      <c r="E194" s="1" t="s">
        <v>2696</v>
      </c>
      <c r="F194" s="4" t="s">
        <v>2308</v>
      </c>
      <c r="G194" s="4" t="s">
        <v>471</v>
      </c>
      <c r="H194" s="4" t="s">
        <v>2249</v>
      </c>
      <c r="I194" s="4" t="s">
        <v>2281</v>
      </c>
      <c r="J194" t="s">
        <v>2697</v>
      </c>
      <c r="K194" s="1" t="s">
        <v>2266</v>
      </c>
      <c r="L194" s="1" t="s">
        <v>2251</v>
      </c>
      <c r="M194" s="1" t="s">
        <v>471</v>
      </c>
      <c r="N194" s="9">
        <v>46245</v>
      </c>
      <c r="O194" s="9">
        <v>46107</v>
      </c>
      <c r="P194" s="9">
        <v>45888</v>
      </c>
      <c r="Q194" s="9"/>
      <c r="R194" s="10" t="str">
        <f>HYPERLINK(_xlfn.CONCAT("https://mhmpl.sangamcrm.com/tickets/",Ticket3[[#This Row],[Id]]))</f>
        <v>https://mhmpl.sangamcrm.com/tickets/6d728da9-a2f9-4d8f-9827-edd902d7f191</v>
      </c>
      <c r="S194" s="9" t="str">
        <f>_xlfn.CONCAT(Ticket3[[#This Row],[Account Name]]," ",Ticket3[[#This Row],[City]]," ",Ticket3[[#This Row],[Product Name]]," ",Ticket3[[#This Row],[Ticket Type]]," ")</f>
        <v xml:space="preserve">Manipal Academy of Higher Education Manipal PTS 2000 Service </v>
      </c>
    </row>
    <row r="195" spans="1:19" x14ac:dyDescent="0.25">
      <c r="A195" s="3">
        <v>47014</v>
      </c>
      <c r="B195" s="4" t="s">
        <v>2230</v>
      </c>
      <c r="C195" s="2">
        <v>46295</v>
      </c>
      <c r="D195" s="1" t="s">
        <v>2488</v>
      </c>
      <c r="E195" s="1" t="s">
        <v>2489</v>
      </c>
      <c r="F195" s="4" t="s">
        <v>2286</v>
      </c>
      <c r="G195" s="4" t="s">
        <v>457</v>
      </c>
      <c r="H195" s="4" t="s">
        <v>2234</v>
      </c>
      <c r="I195" s="4" t="s">
        <v>2400</v>
      </c>
      <c r="J195" t="s">
        <v>2490</v>
      </c>
      <c r="K195" s="1" t="s">
        <v>2260</v>
      </c>
      <c r="L195" s="1" t="s">
        <v>2251</v>
      </c>
      <c r="M195" s="1" t="s">
        <v>457</v>
      </c>
      <c r="N195" s="9">
        <v>46098</v>
      </c>
      <c r="O195" s="9">
        <v>45927</v>
      </c>
      <c r="P195" s="9"/>
      <c r="Q195" s="9"/>
      <c r="R195" s="10" t="str">
        <f>HYPERLINK(_xlfn.CONCAT("https://mhmpl.sangamcrm.com/tickets/",Ticket3[[#This Row],[Id]]))</f>
        <v>https://mhmpl.sangamcrm.com/tickets/325a0f2d-7887-439d-8423-64b2ff7a8356</v>
      </c>
      <c r="S195" s="9" t="str">
        <f>_xlfn.CONCAT(Ticket3[[#This Row],[Account Name]]," ",Ticket3[[#This Row],[City]]," ",Ticket3[[#This Row],[Product Name]]," ",Ticket3[[#This Row],[Ticket Type]]," ")</f>
        <v xml:space="preserve">TWO M LASER SERVICE MUMBAI REVO FC PMS </v>
      </c>
    </row>
    <row r="196" spans="1:19" x14ac:dyDescent="0.25">
      <c r="A196" s="3">
        <v>56856</v>
      </c>
      <c r="B196" s="4" t="s">
        <v>2258</v>
      </c>
      <c r="C196" s="2">
        <v>46319</v>
      </c>
      <c r="D196" s="1" t="s">
        <v>2488</v>
      </c>
      <c r="E196" s="1" t="s">
        <v>2489</v>
      </c>
      <c r="F196" s="4" t="s">
        <v>2286</v>
      </c>
      <c r="G196" s="4" t="s">
        <v>2715</v>
      </c>
      <c r="H196" s="4" t="s">
        <v>2249</v>
      </c>
      <c r="I196" s="4" t="s">
        <v>2327</v>
      </c>
      <c r="J196" t="s">
        <v>2716</v>
      </c>
      <c r="K196" s="1" t="s">
        <v>2237</v>
      </c>
      <c r="L196" s="1" t="s">
        <v>2251</v>
      </c>
      <c r="M196" s="1"/>
      <c r="N196" s="9"/>
      <c r="O196" s="9"/>
      <c r="P196" s="9"/>
      <c r="Q196" s="9"/>
      <c r="R196" s="10" t="str">
        <f>HYPERLINK(_xlfn.CONCAT("https://mhmpl.sangamcrm.com/tickets/",Ticket3[[#This Row],[Id]]))</f>
        <v>https://mhmpl.sangamcrm.com/tickets/8f873035-17e1-4a85-889a-610658d6d935</v>
      </c>
      <c r="S196" s="9" t="str">
        <f>_xlfn.CONCAT(Ticket3[[#This Row],[Account Name]]," ",Ticket3[[#This Row],[City]]," ",Ticket3[[#This Row],[Product Name]]," ",Ticket3[[#This Row],[Ticket Type]]," ")</f>
        <v xml:space="preserve">TWO M LASER SERVICE MUMBAI REVO FC Service </v>
      </c>
    </row>
    <row r="197" spans="1:19" x14ac:dyDescent="0.25">
      <c r="A197" s="3">
        <v>45053</v>
      </c>
      <c r="B197" s="4" t="s">
        <v>2230</v>
      </c>
      <c r="C197" s="2">
        <v>46326</v>
      </c>
      <c r="D197" s="1" t="s">
        <v>2491</v>
      </c>
      <c r="E197" s="1" t="s">
        <v>2492</v>
      </c>
      <c r="F197" s="4" t="s">
        <v>2241</v>
      </c>
      <c r="G197" s="4" t="s">
        <v>820</v>
      </c>
      <c r="H197" s="4" t="s">
        <v>2234</v>
      </c>
      <c r="I197" s="4" t="s">
        <v>2235</v>
      </c>
      <c r="J197" t="s">
        <v>2493</v>
      </c>
      <c r="K197" s="1" t="s">
        <v>2237</v>
      </c>
      <c r="L197" s="1" t="s">
        <v>2283</v>
      </c>
      <c r="M197" s="1" t="s">
        <v>820</v>
      </c>
      <c r="N197" s="9">
        <v>46168</v>
      </c>
      <c r="O197" s="9">
        <v>45915</v>
      </c>
      <c r="P197" s="9">
        <v>45733</v>
      </c>
      <c r="Q197" s="9">
        <v>45587</v>
      </c>
      <c r="R197" s="10" t="str">
        <f>HYPERLINK(_xlfn.CONCAT("https://mhmpl.sangamcrm.com/tickets/",Ticket3[[#This Row],[Id]]))</f>
        <v>https://mhmpl.sangamcrm.com/tickets/d0a1fe94-27af-4ce0-af62-638c97d05e2d</v>
      </c>
      <c r="S197" s="9" t="str">
        <f>_xlfn.CONCAT(Ticket3[[#This Row],[Account Name]]," ",Ticket3[[#This Row],[City]]," ",Ticket3[[#This Row],[Product Name]]," ",Ticket3[[#This Row],[Ticket Type]]," ")</f>
        <v xml:space="preserve">New Vision Eye Hospital (Eye Foundation group) Mundakayam TMS-4N PMS </v>
      </c>
    </row>
    <row r="198" spans="1:19" x14ac:dyDescent="0.25">
      <c r="A198" s="3">
        <v>45055</v>
      </c>
      <c r="B198" s="4" t="s">
        <v>2230</v>
      </c>
      <c r="C198" s="2">
        <v>46326</v>
      </c>
      <c r="D198" s="1" t="s">
        <v>2491</v>
      </c>
      <c r="E198" s="1" t="s">
        <v>2492</v>
      </c>
      <c r="F198" s="4" t="s">
        <v>2254</v>
      </c>
      <c r="G198" s="4" t="s">
        <v>844</v>
      </c>
      <c r="H198" s="4" t="s">
        <v>2234</v>
      </c>
      <c r="I198" s="4" t="s">
        <v>2235</v>
      </c>
      <c r="J198" t="s">
        <v>2494</v>
      </c>
      <c r="K198" s="1" t="s">
        <v>2237</v>
      </c>
      <c r="L198" s="1" t="s">
        <v>2283</v>
      </c>
      <c r="M198" s="1" t="s">
        <v>844</v>
      </c>
      <c r="N198" s="9">
        <v>46168</v>
      </c>
      <c r="O198" s="9">
        <v>45745</v>
      </c>
      <c r="P198" s="9">
        <v>45587</v>
      </c>
      <c r="Q198" s="9">
        <v>45553</v>
      </c>
      <c r="R198" s="10" t="str">
        <f>HYPERLINK(_xlfn.CONCAT("https://mhmpl.sangamcrm.com/tickets/",Ticket3[[#This Row],[Id]]))</f>
        <v>https://mhmpl.sangamcrm.com/tickets/14bc2698-7fdd-489e-8e82-7ce65446a755</v>
      </c>
      <c r="S198" s="9" t="str">
        <f>_xlfn.CONCAT(Ticket3[[#This Row],[Account Name]]," ",Ticket3[[#This Row],[City]]," ",Ticket3[[#This Row],[Product Name]]," ",Ticket3[[#This Row],[Ticket Type]]," ")</f>
        <v xml:space="preserve">New Vision Eye Hospital (Eye Foundation group) Mundakayam IDRA FULL PMS </v>
      </c>
    </row>
    <row r="199" spans="1:19" x14ac:dyDescent="0.25">
      <c r="A199" s="3">
        <v>55897</v>
      </c>
      <c r="B199" s="4" t="s">
        <v>2358</v>
      </c>
      <c r="C199" s="2">
        <v>46300</v>
      </c>
      <c r="D199" s="1" t="s">
        <v>2495</v>
      </c>
      <c r="E199" s="1" t="s">
        <v>2496</v>
      </c>
      <c r="F199" s="4" t="s">
        <v>2333</v>
      </c>
      <c r="G199" s="4" t="s">
        <v>711</v>
      </c>
      <c r="H199" s="4" t="s">
        <v>2249</v>
      </c>
      <c r="I199" s="4" t="s">
        <v>2235</v>
      </c>
      <c r="J199" t="s">
        <v>2497</v>
      </c>
      <c r="K199" s="1" t="s">
        <v>2237</v>
      </c>
      <c r="L199" s="1" t="s">
        <v>2251</v>
      </c>
      <c r="M199" s="1" t="s">
        <v>711</v>
      </c>
      <c r="N199" s="9">
        <v>46134</v>
      </c>
      <c r="O199" s="9">
        <v>46018</v>
      </c>
      <c r="P199" s="9">
        <v>45763</v>
      </c>
      <c r="Q199" s="9">
        <v>45608</v>
      </c>
      <c r="R199" s="10" t="str">
        <f>HYPERLINK(_xlfn.CONCAT("https://mhmpl.sangamcrm.com/tickets/",Ticket3[[#This Row],[Id]]))</f>
        <v>https://mhmpl.sangamcrm.com/tickets/561c7b8f-a9ab-4a42-8ea1-ba7b947b83f1</v>
      </c>
      <c r="S199" s="9" t="str">
        <f>_xlfn.CONCAT(Ticket3[[#This Row],[Account Name]]," ",Ticket3[[#This Row],[City]]," ",Ticket3[[#This Row],[Product Name]]," ",Ticket3[[#This Row],[Ticket Type]]," ")</f>
        <v xml:space="preserve">Parappuram's Smile Dental clinic Muvattupuzha Enbio PRO Service </v>
      </c>
    </row>
    <row r="200" spans="1:19" x14ac:dyDescent="0.25">
      <c r="A200" s="3">
        <v>45051</v>
      </c>
      <c r="B200" s="4" t="s">
        <v>2230</v>
      </c>
      <c r="C200" s="2">
        <v>46356</v>
      </c>
      <c r="D200" s="1" t="s">
        <v>2901</v>
      </c>
      <c r="E200" s="1" t="s">
        <v>2499</v>
      </c>
      <c r="F200" s="4" t="s">
        <v>2902</v>
      </c>
      <c r="G200" s="4" t="s">
        <v>1311</v>
      </c>
      <c r="H200" s="4" t="s">
        <v>2234</v>
      </c>
      <c r="I200" s="4" t="s">
        <v>2281</v>
      </c>
      <c r="J200" t="s">
        <v>2903</v>
      </c>
      <c r="K200" s="1" t="s">
        <v>2266</v>
      </c>
      <c r="L200" s="1" t="s">
        <v>2238</v>
      </c>
      <c r="M200" s="1" t="s">
        <v>1311</v>
      </c>
      <c r="N200" s="9">
        <v>46150</v>
      </c>
      <c r="O200" s="9">
        <v>46010</v>
      </c>
      <c r="P200" s="9">
        <v>45805</v>
      </c>
      <c r="Q200" s="9">
        <v>45449</v>
      </c>
      <c r="R200" s="10" t="str">
        <f>HYPERLINK(_xlfn.CONCAT("https://mhmpl.sangamcrm.com/tickets/",Ticket3[[#This Row],[Id]]))</f>
        <v>https://mhmpl.sangamcrm.com/tickets/3a479375-83b6-462d-931a-2c860efdc63f</v>
      </c>
      <c r="S200" s="9" t="str">
        <f>_xlfn.CONCAT(Ticket3[[#This Row],[Account Name]]," ",Ticket3[[#This Row],[City]]," ",Ticket3[[#This Row],[Product Name]]," ",Ticket3[[#This Row],[Ticket Type]]," ")</f>
        <v xml:space="preserve">NETHRADHAMA Mysore MYSORE HS-3035BL PMS </v>
      </c>
    </row>
    <row r="201" spans="1:19" x14ac:dyDescent="0.25">
      <c r="A201" s="3">
        <v>55906</v>
      </c>
      <c r="B201" s="4" t="s">
        <v>2230</v>
      </c>
      <c r="C201" s="2">
        <v>46326</v>
      </c>
      <c r="D201" s="1" t="s">
        <v>2498</v>
      </c>
      <c r="E201" s="1" t="s">
        <v>2499</v>
      </c>
      <c r="F201" s="4" t="s">
        <v>2289</v>
      </c>
      <c r="G201" s="4" t="s">
        <v>1839</v>
      </c>
      <c r="H201" s="4" t="s">
        <v>2234</v>
      </c>
      <c r="I201" s="4" t="s">
        <v>2271</v>
      </c>
      <c r="J201" t="s">
        <v>2500</v>
      </c>
      <c r="K201" s="1" t="s">
        <v>2266</v>
      </c>
      <c r="L201" s="1" t="s">
        <v>2283</v>
      </c>
      <c r="M201" s="1" t="s">
        <v>1839</v>
      </c>
      <c r="N201" s="9">
        <v>46157</v>
      </c>
      <c r="O201" s="9">
        <v>46127</v>
      </c>
      <c r="P201" s="9">
        <v>45915</v>
      </c>
      <c r="Q201" s="9">
        <v>45722</v>
      </c>
      <c r="R201" s="10" t="str">
        <f>HYPERLINK(_xlfn.CONCAT("https://mhmpl.sangamcrm.com/tickets/",Ticket3[[#This Row],[Id]]))</f>
        <v>https://mhmpl.sangamcrm.com/tickets/aa4996fa-36bc-4975-b18b-2d7014ba545d</v>
      </c>
      <c r="S201" s="9" t="str">
        <f>_xlfn.CONCAT(Ticket3[[#This Row],[Account Name]]," ",Ticket3[[#This Row],[City]]," ",Ticket3[[#This Row],[Product Name]]," ",Ticket3[[#This Row],[Ticket Type]]," ")</f>
        <v xml:space="preserve">SNEHA EYE HOSPITAL MYSORE HS-3041BL PMS </v>
      </c>
    </row>
    <row r="202" spans="1:19" x14ac:dyDescent="0.25">
      <c r="A202" s="3">
        <v>45040</v>
      </c>
      <c r="B202" s="4" t="s">
        <v>2230</v>
      </c>
      <c r="C202" s="2">
        <v>46356</v>
      </c>
      <c r="D202" s="1" t="s">
        <v>2901</v>
      </c>
      <c r="E202" s="1" t="s">
        <v>2499</v>
      </c>
      <c r="F202" s="4" t="s">
        <v>2968</v>
      </c>
      <c r="G202" s="4" t="s">
        <v>1999</v>
      </c>
      <c r="H202" s="4" t="s">
        <v>2234</v>
      </c>
      <c r="I202" s="4" t="s">
        <v>2281</v>
      </c>
      <c r="J202" t="s">
        <v>2969</v>
      </c>
      <c r="K202" s="1" t="s">
        <v>2266</v>
      </c>
      <c r="L202" s="1" t="s">
        <v>2238</v>
      </c>
      <c r="M202" s="1" t="s">
        <v>1999</v>
      </c>
      <c r="N202" s="9">
        <v>46157</v>
      </c>
      <c r="O202" s="9">
        <v>46024</v>
      </c>
      <c r="P202" s="9">
        <v>45798</v>
      </c>
      <c r="Q202" s="9">
        <v>45507</v>
      </c>
      <c r="R202" s="10" t="str">
        <f>HYPERLINK(_xlfn.CONCAT("https://mhmpl.sangamcrm.com/tickets/",Ticket3[[#This Row],[Id]]))</f>
        <v>https://mhmpl.sangamcrm.com/tickets/25839fca-b174-4dc8-ac4b-4dc51fa49511</v>
      </c>
      <c r="S202" s="9" t="str">
        <f>_xlfn.CONCAT(Ticket3[[#This Row],[Account Name]]," ",Ticket3[[#This Row],[City]]," ",Ticket3[[#This Row],[Product Name]]," ",Ticket3[[#This Row],[Ticket Type]]," ")</f>
        <v xml:space="preserve">NETHRADHAMA Mysore MYSORE UV-X 2000 PMS </v>
      </c>
    </row>
    <row r="203" spans="1:19" x14ac:dyDescent="0.25">
      <c r="A203" s="3">
        <v>47830</v>
      </c>
      <c r="B203" s="4" t="s">
        <v>2230</v>
      </c>
      <c r="C203" s="2">
        <v>46356</v>
      </c>
      <c r="D203" s="1" t="s">
        <v>2501</v>
      </c>
      <c r="E203" s="1" t="s">
        <v>2502</v>
      </c>
      <c r="F203" s="4" t="s">
        <v>2265</v>
      </c>
      <c r="G203" s="4" t="s">
        <v>1509</v>
      </c>
      <c r="H203" s="4" t="s">
        <v>2234</v>
      </c>
      <c r="I203" s="4" t="s">
        <v>2257</v>
      </c>
      <c r="J203" t="s">
        <v>2922</v>
      </c>
      <c r="K203" s="1" t="s">
        <v>2257</v>
      </c>
      <c r="L203" s="1" t="s">
        <v>2238</v>
      </c>
      <c r="M203" s="1" t="s">
        <v>1509</v>
      </c>
      <c r="N203" s="9">
        <v>46132</v>
      </c>
      <c r="O203" s="9">
        <v>45981</v>
      </c>
      <c r="P203" s="9">
        <v>45901</v>
      </c>
      <c r="Q203" s="9">
        <v>45654</v>
      </c>
      <c r="R203" s="10" t="str">
        <f>HYPERLINK(_xlfn.CONCAT("https://mhmpl.sangamcrm.com/tickets/",Ticket3[[#This Row],[Id]]))</f>
        <v>https://mhmpl.sangamcrm.com/tickets/49874ce6-5942-46c8-9c85-d8e741e9e04b</v>
      </c>
      <c r="S203" s="9" t="str">
        <f>_xlfn.CONCAT(Ticket3[[#This Row],[Account Name]]," ",Ticket3[[#This Row],[City]]," ",Ticket3[[#This Row],[Product Name]]," ",Ticket3[[#This Row],[Ticket Type]]," ")</f>
        <v xml:space="preserve">BEJAN SINGH EYE HOSPITAL PVT.LTD. NAGARCOIL TOPOLYZER VARIO PMS </v>
      </c>
    </row>
    <row r="204" spans="1:19" x14ac:dyDescent="0.25">
      <c r="A204" s="3">
        <v>50252</v>
      </c>
      <c r="B204" s="4" t="s">
        <v>2230</v>
      </c>
      <c r="C204" s="2">
        <v>46326</v>
      </c>
      <c r="D204" s="1" t="s">
        <v>2501</v>
      </c>
      <c r="E204" s="1" t="s">
        <v>2502</v>
      </c>
      <c r="F204" s="4" t="s">
        <v>2303</v>
      </c>
      <c r="G204" s="4" t="s">
        <v>1951</v>
      </c>
      <c r="H204" s="4" t="s">
        <v>2234</v>
      </c>
      <c r="I204" s="4" t="s">
        <v>2257</v>
      </c>
      <c r="J204" t="s">
        <v>2503</v>
      </c>
      <c r="K204" s="1" t="s">
        <v>2257</v>
      </c>
      <c r="L204" s="1" t="s">
        <v>2283</v>
      </c>
      <c r="M204" s="1" t="s">
        <v>1951</v>
      </c>
      <c r="N204" s="9">
        <v>45988</v>
      </c>
      <c r="O204" s="9">
        <v>45728</v>
      </c>
      <c r="P204" s="9">
        <v>45442</v>
      </c>
      <c r="Q204" s="9">
        <v>45239</v>
      </c>
      <c r="R204" s="10" t="str">
        <f>HYPERLINK(_xlfn.CONCAT("https://mhmpl.sangamcrm.com/tickets/",Ticket3[[#This Row],[Id]]))</f>
        <v>https://mhmpl.sangamcrm.com/tickets/42cffdf3-1373-4487-a430-3dded1a72a0a</v>
      </c>
      <c r="S204" s="9" t="str">
        <f>_xlfn.CONCAT(Ticket3[[#This Row],[Account Name]]," ",Ticket3[[#This Row],[City]]," ",Ticket3[[#This Row],[Product Name]]," ",Ticket3[[#This Row],[Ticket Type]]," ")</f>
        <v xml:space="preserve">BEJAN SINGH EYE HOSPITAL PVT.LTD. NAGARCOIL EX500 PMS </v>
      </c>
    </row>
    <row r="205" spans="1:19" x14ac:dyDescent="0.25">
      <c r="A205" s="3">
        <v>47834</v>
      </c>
      <c r="B205" s="4" t="s">
        <v>2230</v>
      </c>
      <c r="C205" s="2">
        <v>46356</v>
      </c>
      <c r="D205" s="1" t="s">
        <v>2501</v>
      </c>
      <c r="E205" s="1" t="s">
        <v>2502</v>
      </c>
      <c r="F205" s="4" t="s">
        <v>2977</v>
      </c>
      <c r="G205" s="4" t="s">
        <v>2140</v>
      </c>
      <c r="H205" s="4" t="s">
        <v>2234</v>
      </c>
      <c r="I205" s="4" t="s">
        <v>2257</v>
      </c>
      <c r="J205" t="s">
        <v>2978</v>
      </c>
      <c r="K205" s="1" t="s">
        <v>2257</v>
      </c>
      <c r="L205" s="1" t="s">
        <v>2238</v>
      </c>
      <c r="M205" s="1" t="s">
        <v>2140</v>
      </c>
      <c r="N205" s="9">
        <v>46132</v>
      </c>
      <c r="O205" s="9">
        <v>45981</v>
      </c>
      <c r="P205" s="9">
        <v>45901</v>
      </c>
      <c r="Q205" s="9"/>
      <c r="R205" s="10" t="str">
        <f>HYPERLINK(_xlfn.CONCAT("https://mhmpl.sangamcrm.com/tickets/",Ticket3[[#This Row],[Id]]))</f>
        <v>https://mhmpl.sangamcrm.com/tickets/4cf1e88a-bbb4-463c-91fd-ce89e2e6e2f7</v>
      </c>
      <c r="S205" s="9" t="str">
        <f>_xlfn.CONCAT(Ticket3[[#This Row],[Account Name]]," ",Ticket3[[#This Row],[City]]," ",Ticket3[[#This Row],[Product Name]]," ",Ticket3[[#This Row],[Ticket Type]]," ")</f>
        <v xml:space="preserve">BEJAN SINGH EYE HOSPITAL PVT.LTD. NAGARCOIL OCULYZER II PMS </v>
      </c>
    </row>
    <row r="206" spans="1:19" x14ac:dyDescent="0.25">
      <c r="A206" s="3">
        <v>51475</v>
      </c>
      <c r="B206" s="4" t="s">
        <v>2230</v>
      </c>
      <c r="C206" s="2">
        <v>46356</v>
      </c>
      <c r="D206" s="1" t="s">
        <v>2504</v>
      </c>
      <c r="E206" s="1" t="s">
        <v>2505</v>
      </c>
      <c r="F206" s="4" t="s">
        <v>2351</v>
      </c>
      <c r="G206" s="4" t="s">
        <v>55</v>
      </c>
      <c r="H206" s="4" t="s">
        <v>2234</v>
      </c>
      <c r="I206" s="4" t="s">
        <v>2407</v>
      </c>
      <c r="J206" t="s">
        <v>2736</v>
      </c>
      <c r="K206" s="1" t="s">
        <v>2260</v>
      </c>
      <c r="L206" s="1" t="s">
        <v>2238</v>
      </c>
      <c r="M206" s="1" t="s">
        <v>55</v>
      </c>
      <c r="N206" s="9"/>
      <c r="O206" s="9"/>
      <c r="P206" s="9"/>
      <c r="Q206" s="9"/>
      <c r="R206" s="10" t="str">
        <f>HYPERLINK(_xlfn.CONCAT("https://mhmpl.sangamcrm.com/tickets/",Ticket3[[#This Row],[Id]]))</f>
        <v>https://mhmpl.sangamcrm.com/tickets/e97cbe7a-5757-41b7-a68a-2e45cae57071</v>
      </c>
      <c r="S206" s="9" t="str">
        <f>_xlfn.CONCAT(Ticket3[[#This Row],[Account Name]]," ",Ticket3[[#This Row],[City]]," ",Ticket3[[#This Row],[Product Name]]," ",Ticket3[[#This Row],[Ticket Type]]," ")</f>
        <v xml:space="preserve">NAYANA EYE CARE Nandyal SIRIUS+ PMS </v>
      </c>
    </row>
    <row r="207" spans="1:19" x14ac:dyDescent="0.25">
      <c r="A207" s="3">
        <v>50498</v>
      </c>
      <c r="B207" s="4" t="s">
        <v>2230</v>
      </c>
      <c r="C207" s="2">
        <v>46326</v>
      </c>
      <c r="D207" s="1" t="s">
        <v>2504</v>
      </c>
      <c r="E207" s="1" t="s">
        <v>2505</v>
      </c>
      <c r="F207" s="4" t="s">
        <v>2506</v>
      </c>
      <c r="G207" s="4" t="s">
        <v>86</v>
      </c>
      <c r="H207" s="4" t="s">
        <v>2234</v>
      </c>
      <c r="I207" s="4" t="s">
        <v>2407</v>
      </c>
      <c r="J207" t="s">
        <v>2507</v>
      </c>
      <c r="K207" s="1" t="s">
        <v>2260</v>
      </c>
      <c r="L207" s="1" t="s">
        <v>2283</v>
      </c>
      <c r="M207" s="1" t="s">
        <v>86</v>
      </c>
      <c r="N207" s="9"/>
      <c r="O207" s="9"/>
      <c r="P207" s="9"/>
      <c r="Q207" s="9"/>
      <c r="R207" s="10" t="str">
        <f>HYPERLINK(_xlfn.CONCAT("https://mhmpl.sangamcrm.com/tickets/",Ticket3[[#This Row],[Id]]))</f>
        <v>https://mhmpl.sangamcrm.com/tickets/54c565cd-52e8-4bf3-b6c0-b1e32ceb5c9c</v>
      </c>
      <c r="S207" s="9" t="str">
        <f>_xlfn.CONCAT(Ticket3[[#This Row],[Account Name]]," ",Ticket3[[#This Row],[City]]," ",Ticket3[[#This Row],[Product Name]]," ",Ticket3[[#This Row],[Ticket Type]]," ")</f>
        <v xml:space="preserve">NAYANA EYE CARE Nandyal EVOLUTION 3 PMS </v>
      </c>
    </row>
    <row r="208" spans="1:19" x14ac:dyDescent="0.25">
      <c r="A208" s="3">
        <v>50486</v>
      </c>
      <c r="B208" s="4" t="s">
        <v>2364</v>
      </c>
      <c r="C208" s="2">
        <v>46260</v>
      </c>
      <c r="D208" s="1" t="s">
        <v>2504</v>
      </c>
      <c r="E208" s="1" t="s">
        <v>2505</v>
      </c>
      <c r="F208" s="4" t="s">
        <v>2265</v>
      </c>
      <c r="G208" s="4" t="s">
        <v>141</v>
      </c>
      <c r="H208" s="4" t="s">
        <v>2234</v>
      </c>
      <c r="I208" s="4" t="s">
        <v>2407</v>
      </c>
      <c r="J208" t="s">
        <v>2508</v>
      </c>
      <c r="K208" s="1" t="s">
        <v>2260</v>
      </c>
      <c r="L208" s="1" t="s">
        <v>2251</v>
      </c>
      <c r="M208" s="1" t="s">
        <v>141</v>
      </c>
      <c r="N208" s="9"/>
      <c r="O208" s="9"/>
      <c r="P208" s="9"/>
      <c r="Q208" s="9"/>
      <c r="R208" s="10" t="str">
        <f>HYPERLINK(_xlfn.CONCAT("https://mhmpl.sangamcrm.com/tickets/",Ticket3[[#This Row],[Id]]))</f>
        <v>https://mhmpl.sangamcrm.com/tickets/3d2a587e-7594-4b33-b50d-d4abaec3d74f</v>
      </c>
      <c r="S208" s="9" t="str">
        <f>_xlfn.CONCAT(Ticket3[[#This Row],[Account Name]]," ",Ticket3[[#This Row],[City]]," ",Ticket3[[#This Row],[Product Name]]," ",Ticket3[[#This Row],[Ticket Type]]," ")</f>
        <v xml:space="preserve">NAYANA EYE CARE Nandyal TOPOLYZER VARIO PMS </v>
      </c>
    </row>
    <row r="209" spans="1:19" x14ac:dyDescent="0.25">
      <c r="A209" s="3">
        <v>43664</v>
      </c>
      <c r="B209" s="4" t="s">
        <v>2230</v>
      </c>
      <c r="C209" s="2">
        <v>46326</v>
      </c>
      <c r="D209" s="1" t="s">
        <v>2509</v>
      </c>
      <c r="E209" s="1" t="s">
        <v>2510</v>
      </c>
      <c r="F209" s="4" t="s">
        <v>2254</v>
      </c>
      <c r="G209" s="4" t="s">
        <v>224</v>
      </c>
      <c r="H209" s="4" t="s">
        <v>2234</v>
      </c>
      <c r="I209" s="4" t="s">
        <v>2348</v>
      </c>
      <c r="J209" t="s">
        <v>2511</v>
      </c>
      <c r="K209" s="1" t="s">
        <v>2244</v>
      </c>
      <c r="L209" s="1" t="s">
        <v>2283</v>
      </c>
      <c r="M209" s="1" t="s">
        <v>224</v>
      </c>
      <c r="N209" s="9">
        <v>46184</v>
      </c>
      <c r="O209" s="9"/>
      <c r="P209" s="9"/>
      <c r="Q209" s="9"/>
      <c r="R209" s="10" t="str">
        <f>HYPERLINK(_xlfn.CONCAT("https://mhmpl.sangamcrm.com/tickets/",Ticket3[[#This Row],[Id]]))</f>
        <v>https://mhmpl.sangamcrm.com/tickets/3389291a-7ba7-49d4-923c-e898bbf0f067</v>
      </c>
      <c r="S209" s="9" t="str">
        <f>_xlfn.CONCAT(Ticket3[[#This Row],[Account Name]]," ",Ticket3[[#This Row],[City]]," ",Ticket3[[#This Row],[Product Name]]," ",Ticket3[[#This Row],[Ticket Type]]," ")</f>
        <v xml:space="preserve">Dr Raja Sekhar eye hospital NELLORE IDRA FULL PMS </v>
      </c>
    </row>
    <row r="210" spans="1:19" x14ac:dyDescent="0.25">
      <c r="A210" s="3">
        <v>43818</v>
      </c>
      <c r="B210" s="4" t="s">
        <v>2230</v>
      </c>
      <c r="C210" s="2">
        <v>46326</v>
      </c>
      <c r="D210" s="1" t="s">
        <v>2512</v>
      </c>
      <c r="E210" s="1" t="s">
        <v>2513</v>
      </c>
      <c r="F210" s="4" t="s">
        <v>2286</v>
      </c>
      <c r="G210" s="4" t="s">
        <v>798</v>
      </c>
      <c r="H210" s="4" t="s">
        <v>2234</v>
      </c>
      <c r="I210" s="4" t="s">
        <v>2244</v>
      </c>
      <c r="J210" t="s">
        <v>2514</v>
      </c>
      <c r="K210" s="1" t="s">
        <v>2244</v>
      </c>
      <c r="L210" s="1" t="s">
        <v>2283</v>
      </c>
      <c r="M210" s="1" t="s">
        <v>798</v>
      </c>
      <c r="N210" s="9">
        <v>46184</v>
      </c>
      <c r="O210" s="9">
        <v>45971</v>
      </c>
      <c r="P210" s="9">
        <v>45855</v>
      </c>
      <c r="Q210" s="9">
        <v>45631</v>
      </c>
      <c r="R210" s="10" t="str">
        <f>HYPERLINK(_xlfn.CONCAT("https://mhmpl.sangamcrm.com/tickets/",Ticket3[[#This Row],[Id]]))</f>
        <v>https://mhmpl.sangamcrm.com/tickets/520c3902-8e10-4ff0-b243-04fc714e7eb5</v>
      </c>
      <c r="S210" s="9" t="str">
        <f>_xlfn.CONCAT(Ticket3[[#This Row],[Account Name]]," ",Ticket3[[#This Row],[City]]," ",Ticket3[[#This Row],[Product Name]]," ",Ticket3[[#This Row],[Ticket Type]]," ")</f>
        <v xml:space="preserve">SUSEELA NETHRALAYA, Hyderabad Nellore REVO FC PMS </v>
      </c>
    </row>
    <row r="211" spans="1:19" x14ac:dyDescent="0.25">
      <c r="A211" s="3">
        <v>53344</v>
      </c>
      <c r="B211" s="4" t="s">
        <v>2230</v>
      </c>
      <c r="C211" s="2">
        <v>46356</v>
      </c>
      <c r="D211" s="1" t="s">
        <v>2925</v>
      </c>
      <c r="E211" s="1" t="s">
        <v>2926</v>
      </c>
      <c r="F211" s="4" t="s">
        <v>2303</v>
      </c>
      <c r="G211" s="4" t="s">
        <v>1554</v>
      </c>
      <c r="H211" s="4" t="s">
        <v>2234</v>
      </c>
      <c r="I211" s="4" t="s">
        <v>2400</v>
      </c>
      <c r="J211" t="s">
        <v>2927</v>
      </c>
      <c r="K211" s="1" t="s">
        <v>2260</v>
      </c>
      <c r="L211" s="1" t="s">
        <v>2238</v>
      </c>
      <c r="M211" s="1" t="s">
        <v>1554</v>
      </c>
      <c r="N211" s="9">
        <v>46161</v>
      </c>
      <c r="O211" s="9">
        <v>45983</v>
      </c>
      <c r="P211" s="9">
        <v>45661</v>
      </c>
      <c r="Q211" s="9">
        <v>45430</v>
      </c>
      <c r="R211" s="10" t="str">
        <f>HYPERLINK(_xlfn.CONCAT("https://mhmpl.sangamcrm.com/tickets/",Ticket3[[#This Row],[Id]]))</f>
        <v>https://mhmpl.sangamcrm.com/tickets/39c6d663-0bc0-4ed3-b51f-3a1d40ed44d9</v>
      </c>
      <c r="S211" s="9" t="str">
        <f>_xlfn.CONCAT(Ticket3[[#This Row],[Account Name]]," ",Ticket3[[#This Row],[City]]," ",Ticket3[[#This Row],[Product Name]]," ",Ticket3[[#This Row],[Ticket Type]]," ")</f>
        <v xml:space="preserve">HARSHA SAI EYE HOSPITAL NIZAMABAD EX500 PMS </v>
      </c>
    </row>
    <row r="212" spans="1:19" x14ac:dyDescent="0.25">
      <c r="A212" s="3">
        <v>44195</v>
      </c>
      <c r="B212" s="4" t="s">
        <v>2230</v>
      </c>
      <c r="C212" s="2">
        <v>46356</v>
      </c>
      <c r="D212" s="1" t="s">
        <v>2778</v>
      </c>
      <c r="E212" s="1" t="s">
        <v>2779</v>
      </c>
      <c r="F212" s="4" t="s">
        <v>2286</v>
      </c>
      <c r="G212" s="4" t="s">
        <v>283</v>
      </c>
      <c r="H212" s="4" t="s">
        <v>2234</v>
      </c>
      <c r="I212" s="4" t="s">
        <v>2242</v>
      </c>
      <c r="J212" t="s">
        <v>2780</v>
      </c>
      <c r="K212" s="1" t="s">
        <v>2244</v>
      </c>
      <c r="L212" s="1" t="s">
        <v>2238</v>
      </c>
      <c r="M212" s="1" t="s">
        <v>283</v>
      </c>
      <c r="N212" s="9">
        <v>46196</v>
      </c>
      <c r="O212" s="9"/>
      <c r="P212" s="9"/>
      <c r="Q212" s="9"/>
      <c r="R212" s="10" t="str">
        <f>HYPERLINK(_xlfn.CONCAT("https://mhmpl.sangamcrm.com/tickets/",Ticket3[[#This Row],[Id]]))</f>
        <v>https://mhmpl.sangamcrm.com/tickets/337b665b-ad4b-4670-8b87-ee150d1493ad</v>
      </c>
      <c r="S212" s="9" t="str">
        <f>_xlfn.CONCAT(Ticket3[[#This Row],[Account Name]]," ",Ticket3[[#This Row],[City]]," ",Ticket3[[#This Row],[Product Name]]," ",Ticket3[[#This Row],[Ticket Type]]," ")</f>
        <v xml:space="preserve">DURGA NURSING HOME ONGOLE REVO FC PMS </v>
      </c>
    </row>
    <row r="213" spans="1:19" x14ac:dyDescent="0.25">
      <c r="A213" s="3">
        <v>52222</v>
      </c>
      <c r="B213" s="4" t="s">
        <v>2230</v>
      </c>
      <c r="C213" s="2">
        <v>46356</v>
      </c>
      <c r="D213" s="1" t="s">
        <v>2912</v>
      </c>
      <c r="E213" s="1" t="s">
        <v>2779</v>
      </c>
      <c r="F213" s="4" t="s">
        <v>2288</v>
      </c>
      <c r="G213" s="4" t="s">
        <v>1372</v>
      </c>
      <c r="H213" s="4" t="s">
        <v>2234</v>
      </c>
      <c r="I213" s="4" t="s">
        <v>2242</v>
      </c>
      <c r="J213" t="s">
        <v>2913</v>
      </c>
      <c r="K213" s="1" t="s">
        <v>2244</v>
      </c>
      <c r="L213" s="1" t="s">
        <v>2238</v>
      </c>
      <c r="M213" s="1" t="s">
        <v>1372</v>
      </c>
      <c r="N213" s="9">
        <v>46130</v>
      </c>
      <c r="O213" s="9">
        <v>46014</v>
      </c>
      <c r="P213" s="9">
        <v>45750</v>
      </c>
      <c r="Q213" s="9">
        <v>45601</v>
      </c>
      <c r="R213" s="10" t="str">
        <f>HYPERLINK(_xlfn.CONCAT("https://mhmpl.sangamcrm.com/tickets/",Ticket3[[#This Row],[Id]]))</f>
        <v>https://mhmpl.sangamcrm.com/tickets/f634656e-e22f-4891-8057-924c53e611bc</v>
      </c>
      <c r="S213" s="9" t="str">
        <f>_xlfn.CONCAT(Ticket3[[#This Row],[Account Name]]," ",Ticket3[[#This Row],[City]]," ",Ticket3[[#This Row],[Product Name]]," ",Ticket3[[#This Row],[Ticket Type]]," ")</f>
        <v xml:space="preserve">ARAVIND EYE HOSPITAL ONGOLE ONGOLE HS-2522BL PMS </v>
      </c>
    </row>
    <row r="214" spans="1:19" x14ac:dyDescent="0.25">
      <c r="A214" s="3">
        <v>44099</v>
      </c>
      <c r="B214" s="4" t="s">
        <v>2230</v>
      </c>
      <c r="C214" s="2">
        <v>46356</v>
      </c>
      <c r="D214" s="1" t="s">
        <v>2822</v>
      </c>
      <c r="E214" s="1" t="s">
        <v>2823</v>
      </c>
      <c r="F214" s="4" t="s">
        <v>2286</v>
      </c>
      <c r="G214" s="4" t="s">
        <v>527</v>
      </c>
      <c r="H214" s="4" t="s">
        <v>2234</v>
      </c>
      <c r="I214" s="4" t="s">
        <v>2327</v>
      </c>
      <c r="J214" t="s">
        <v>2824</v>
      </c>
      <c r="K214" s="1" t="s">
        <v>2237</v>
      </c>
      <c r="L214" s="1" t="s">
        <v>2238</v>
      </c>
      <c r="M214" s="1" t="s">
        <v>527</v>
      </c>
      <c r="N214" s="9">
        <v>46135</v>
      </c>
      <c r="O214" s="9">
        <v>45989</v>
      </c>
      <c r="P214" s="9">
        <v>45797</v>
      </c>
      <c r="Q214" s="9"/>
      <c r="R214" s="10" t="str">
        <f>HYPERLINK(_xlfn.CONCAT("https://mhmpl.sangamcrm.com/tickets/",Ticket3[[#This Row],[Id]]))</f>
        <v>https://mhmpl.sangamcrm.com/tickets/3b7333fc-dfa3-4a8f-bfa0-2b888c53147d</v>
      </c>
      <c r="S214" s="9" t="str">
        <f>_xlfn.CONCAT(Ticket3[[#This Row],[Account Name]]," ",Ticket3[[#This Row],[City]]," ",Ticket3[[#This Row],[Product Name]]," ",Ticket3[[#This Row],[Ticket Type]]," ")</f>
        <v xml:space="preserve">P K DAS Institue Of Medical Sciences Ottapalam REVO FC PMS </v>
      </c>
    </row>
    <row r="215" spans="1:19" x14ac:dyDescent="0.25">
      <c r="A215" s="3">
        <v>55089</v>
      </c>
      <c r="B215" s="4" t="s">
        <v>2358</v>
      </c>
      <c r="C215" s="2">
        <v>46283</v>
      </c>
      <c r="D215" s="1" t="s">
        <v>2432</v>
      </c>
      <c r="E215" s="1" t="s">
        <v>2515</v>
      </c>
      <c r="F215" s="4" t="s">
        <v>2333</v>
      </c>
      <c r="G215" s="4" t="s">
        <v>921</v>
      </c>
      <c r="H215" s="4" t="s">
        <v>2249</v>
      </c>
      <c r="I215" s="4" t="s">
        <v>2386</v>
      </c>
      <c r="J215" t="s">
        <v>2516</v>
      </c>
      <c r="K215" s="1" t="s">
        <v>2257</v>
      </c>
      <c r="L215" s="1" t="s">
        <v>2251</v>
      </c>
      <c r="M215" s="1" t="s">
        <v>921</v>
      </c>
      <c r="N215" s="9">
        <v>46147</v>
      </c>
      <c r="O215" s="9">
        <v>46017</v>
      </c>
      <c r="P215" s="9">
        <v>45757</v>
      </c>
      <c r="Q215" s="9">
        <v>45600</v>
      </c>
      <c r="R215" s="10" t="str">
        <f>HYPERLINK(_xlfn.CONCAT("https://mhmpl.sangamcrm.com/tickets/",Ticket3[[#This Row],[Id]]))</f>
        <v>https://mhmpl.sangamcrm.com/tickets/743ab4d1-d155-4c8b-82e6-12a185c59938</v>
      </c>
      <c r="S215" s="9" t="str">
        <f>_xlfn.CONCAT(Ticket3[[#This Row],[Account Name]]," ",Ticket3[[#This Row],[City]]," ",Ticket3[[#This Row],[Product Name]]," ",Ticket3[[#This Row],[Ticket Type]]," ")</f>
        <v xml:space="preserve">AHALIA FOUNDATION EYE HOSPITAL PALAKKAD Enbio PRO Service </v>
      </c>
    </row>
    <row r="216" spans="1:19" x14ac:dyDescent="0.25">
      <c r="A216" s="3">
        <v>53108</v>
      </c>
      <c r="B216" s="4" t="s">
        <v>2230</v>
      </c>
      <c r="C216" s="2">
        <v>46356</v>
      </c>
      <c r="D216" s="1" t="s">
        <v>2432</v>
      </c>
      <c r="E216" s="1" t="s">
        <v>2515</v>
      </c>
      <c r="F216" s="4" t="s">
        <v>2233</v>
      </c>
      <c r="G216" s="4" t="s">
        <v>963</v>
      </c>
      <c r="H216" s="4" t="s">
        <v>2234</v>
      </c>
      <c r="I216" s="4" t="s">
        <v>2257</v>
      </c>
      <c r="J216" t="s">
        <v>2864</v>
      </c>
      <c r="K216" s="1" t="s">
        <v>2257</v>
      </c>
      <c r="L216" s="1" t="s">
        <v>2238</v>
      </c>
      <c r="M216" s="1" t="s">
        <v>963</v>
      </c>
      <c r="N216" s="9">
        <v>46170</v>
      </c>
      <c r="O216" s="9">
        <v>45924</v>
      </c>
      <c r="P216" s="9">
        <v>45716</v>
      </c>
      <c r="Q216" s="9">
        <v>45497</v>
      </c>
      <c r="R216" s="10" t="str">
        <f>HYPERLINK(_xlfn.CONCAT("https://mhmpl.sangamcrm.com/tickets/",Ticket3[[#This Row],[Id]]))</f>
        <v>https://mhmpl.sangamcrm.com/tickets/12d735f9-0065-48df-80da-252ff9a7f038</v>
      </c>
      <c r="S216" s="9" t="str">
        <f>_xlfn.CONCAT(Ticket3[[#This Row],[Account Name]]," ",Ticket3[[#This Row],[City]]," ",Ticket3[[#This Row],[Product Name]]," ",Ticket3[[#This Row],[Ticket Type]]," ")</f>
        <v xml:space="preserve">AHALIA FOUNDATION EYE HOSPITAL PALAKKAD REVO 60 PMS </v>
      </c>
    </row>
    <row r="217" spans="1:19" x14ac:dyDescent="0.25">
      <c r="A217" s="3">
        <v>50776</v>
      </c>
      <c r="B217" s="4" t="s">
        <v>2261</v>
      </c>
      <c r="C217" s="2">
        <v>46188</v>
      </c>
      <c r="D217" s="1" t="s">
        <v>2432</v>
      </c>
      <c r="E217" s="1" t="s">
        <v>2515</v>
      </c>
      <c r="F217" s="4" t="s">
        <v>2351</v>
      </c>
      <c r="G217" s="4" t="s">
        <v>1175</v>
      </c>
      <c r="H217" s="4" t="s">
        <v>2249</v>
      </c>
      <c r="I217" s="4" t="s">
        <v>2257</v>
      </c>
      <c r="J217" t="s">
        <v>2517</v>
      </c>
      <c r="K217" s="1" t="s">
        <v>2257</v>
      </c>
      <c r="L217" s="1" t="s">
        <v>2251</v>
      </c>
      <c r="M217" s="1" t="s">
        <v>1175</v>
      </c>
      <c r="N217" s="9">
        <v>46197</v>
      </c>
      <c r="O217" s="9">
        <v>46156</v>
      </c>
      <c r="P217" s="9">
        <v>46147</v>
      </c>
      <c r="Q217" s="9">
        <v>46019</v>
      </c>
      <c r="R217" s="10" t="str">
        <f>HYPERLINK(_xlfn.CONCAT("https://mhmpl.sangamcrm.com/tickets/",Ticket3[[#This Row],[Id]]))</f>
        <v>https://mhmpl.sangamcrm.com/tickets/75bbbb56-abfe-4436-8b53-cb1af3e81678</v>
      </c>
      <c r="S217" s="9" t="str">
        <f>_xlfn.CONCAT(Ticket3[[#This Row],[Account Name]]," ",Ticket3[[#This Row],[City]]," ",Ticket3[[#This Row],[Product Name]]," ",Ticket3[[#This Row],[Ticket Type]]," ")</f>
        <v xml:space="preserve">AHALIA FOUNDATION EYE HOSPITAL PALAKKAD SIRIUS+ Service </v>
      </c>
    </row>
    <row r="218" spans="1:19" x14ac:dyDescent="0.25">
      <c r="A218" s="3">
        <v>46603</v>
      </c>
      <c r="B218" s="4" t="s">
        <v>2230</v>
      </c>
      <c r="C218" s="2">
        <v>46326</v>
      </c>
      <c r="D218" s="1" t="s">
        <v>2290</v>
      </c>
      <c r="E218" s="1" t="s">
        <v>2518</v>
      </c>
      <c r="F218" s="4" t="s">
        <v>2284</v>
      </c>
      <c r="G218" s="4" t="s">
        <v>1312</v>
      </c>
      <c r="H218" s="4" t="s">
        <v>2234</v>
      </c>
      <c r="I218" s="4" t="s">
        <v>2257</v>
      </c>
      <c r="J218" t="s">
        <v>2519</v>
      </c>
      <c r="K218" s="1" t="s">
        <v>2257</v>
      </c>
      <c r="L218" s="1" t="s">
        <v>2283</v>
      </c>
      <c r="M218" s="1" t="s">
        <v>1312</v>
      </c>
      <c r="N218" s="9">
        <v>46168</v>
      </c>
      <c r="O218" s="9">
        <v>46154</v>
      </c>
      <c r="P218" s="9">
        <v>45854</v>
      </c>
      <c r="Q218" s="9">
        <v>45675</v>
      </c>
      <c r="R218" s="10" t="str">
        <f>HYPERLINK(_xlfn.CONCAT("https://mhmpl.sangamcrm.com/tickets/",Ticket3[[#This Row],[Id]]))</f>
        <v>https://mhmpl.sangamcrm.com/tickets/53619aea-a80c-4561-9ca2-a597d6a7b6b8</v>
      </c>
      <c r="S218" s="9" t="str">
        <f>_xlfn.CONCAT(Ticket3[[#This Row],[Account Name]]," ",Ticket3[[#This Row],[City]]," ",Ticket3[[#This Row],[Product Name]]," ",Ticket3[[#This Row],[Ticket Type]]," ")</f>
        <v xml:space="preserve">THE EYE FOUNDATION Palakkad OA-2000 PMS </v>
      </c>
    </row>
    <row r="219" spans="1:19" x14ac:dyDescent="0.25">
      <c r="A219" s="3">
        <v>56538</v>
      </c>
      <c r="B219" s="4" t="s">
        <v>2312</v>
      </c>
      <c r="C219" s="2">
        <v>46314</v>
      </c>
      <c r="D219" s="1" t="s">
        <v>2680</v>
      </c>
      <c r="E219" s="1" t="s">
        <v>2515</v>
      </c>
      <c r="F219" s="4" t="s">
        <v>2383</v>
      </c>
      <c r="G219" s="4" t="s">
        <v>2654</v>
      </c>
      <c r="H219" s="4" t="s">
        <v>2249</v>
      </c>
      <c r="I219" s="4" t="s">
        <v>2255</v>
      </c>
      <c r="J219" t="s">
        <v>2681</v>
      </c>
      <c r="K219" s="1" t="s">
        <v>2257</v>
      </c>
      <c r="L219" s="1" t="s">
        <v>2251</v>
      </c>
      <c r="M219" s="1" t="s">
        <v>2654</v>
      </c>
      <c r="N219" s="9"/>
      <c r="O219" s="9"/>
      <c r="P219" s="9"/>
      <c r="Q219" s="9"/>
      <c r="R219" s="10" t="str">
        <f>HYPERLINK(_xlfn.CONCAT("https://mhmpl.sangamcrm.com/tickets/",Ticket3[[#This Row],[Id]]))</f>
        <v>https://mhmpl.sangamcrm.com/tickets/418a9bc7-b197-4ef4-8d16-edb4e8eb58cf</v>
      </c>
      <c r="S219" s="9" t="str">
        <f>_xlfn.CONCAT(Ticket3[[#This Row],[Account Name]]," ",Ticket3[[#This Row],[City]]," ",Ticket3[[#This Row],[Product Name]]," ",Ticket3[[#This Row],[Ticket Type]]," ")</f>
        <v xml:space="preserve">VIJAYAM EYE CLINIC PALAKKAD HS-1321 Service </v>
      </c>
    </row>
    <row r="220" spans="1:19" x14ac:dyDescent="0.25">
      <c r="A220" s="3">
        <v>51040</v>
      </c>
      <c r="B220" s="4" t="s">
        <v>2230</v>
      </c>
      <c r="C220" s="2">
        <v>46356</v>
      </c>
      <c r="D220" s="1" t="s">
        <v>2756</v>
      </c>
      <c r="E220" s="1" t="s">
        <v>2757</v>
      </c>
      <c r="F220" s="4" t="s">
        <v>2284</v>
      </c>
      <c r="G220" s="4" t="s">
        <v>65</v>
      </c>
      <c r="H220" s="4" t="s">
        <v>2234</v>
      </c>
      <c r="I220" s="4" t="s">
        <v>2327</v>
      </c>
      <c r="J220" t="s">
        <v>2758</v>
      </c>
      <c r="K220" s="1" t="s">
        <v>2237</v>
      </c>
      <c r="L220" s="1" t="s">
        <v>2238</v>
      </c>
      <c r="M220" s="1" t="s">
        <v>65</v>
      </c>
      <c r="N220" s="9"/>
      <c r="O220" s="9"/>
      <c r="P220" s="9"/>
      <c r="Q220" s="9"/>
      <c r="R220" s="10" t="str">
        <f>HYPERLINK(_xlfn.CONCAT("https://mhmpl.sangamcrm.com/tickets/",Ticket3[[#This Row],[Id]]))</f>
        <v>https://mhmpl.sangamcrm.com/tickets/42db7127-251e-4dea-b71a-6775f0aad2b2</v>
      </c>
      <c r="S220" s="9" t="str">
        <f>_xlfn.CONCAT(Ticket3[[#This Row],[Account Name]]," ",Ticket3[[#This Row],[City]]," ",Ticket3[[#This Row],[Product Name]]," ",Ticket3[[#This Row],[Ticket Type]]," ")</f>
        <v xml:space="preserve">ST. GREGORIOS MEDICAL MISSION HOSPITAL Parumala OA-2000 PMS </v>
      </c>
    </row>
    <row r="221" spans="1:19" x14ac:dyDescent="0.25">
      <c r="A221" s="3">
        <v>52253</v>
      </c>
      <c r="B221" s="4" t="s">
        <v>2230</v>
      </c>
      <c r="C221" s="2">
        <v>46326</v>
      </c>
      <c r="D221" s="1" t="s">
        <v>2521</v>
      </c>
      <c r="E221" s="1" t="s">
        <v>2522</v>
      </c>
      <c r="F221" s="4" t="s">
        <v>2233</v>
      </c>
      <c r="G221" s="4" t="s">
        <v>642</v>
      </c>
      <c r="H221" s="4" t="s">
        <v>2234</v>
      </c>
      <c r="I221" s="4" t="s">
        <v>2235</v>
      </c>
      <c r="J221" t="s">
        <v>2523</v>
      </c>
      <c r="K221" s="1" t="s">
        <v>2237</v>
      </c>
      <c r="L221" s="1" t="s">
        <v>2283</v>
      </c>
      <c r="M221" s="1" t="s">
        <v>642</v>
      </c>
      <c r="N221" s="9">
        <v>46202</v>
      </c>
      <c r="O221" s="9">
        <v>46020</v>
      </c>
      <c r="P221" s="9">
        <v>45814</v>
      </c>
      <c r="Q221" s="9">
        <v>45642</v>
      </c>
      <c r="R221" s="10" t="str">
        <f>HYPERLINK(_xlfn.CONCAT("https://mhmpl.sangamcrm.com/tickets/",Ticket3[[#This Row],[Id]]))</f>
        <v>https://mhmpl.sangamcrm.com/tickets/fbf2418d-7eaa-47e8-b393-cd29b7fb846c</v>
      </c>
      <c r="S221" s="9" t="str">
        <f>_xlfn.CONCAT(Ticket3[[#This Row],[Account Name]]," ",Ticket3[[#This Row],[City]]," ",Ticket3[[#This Row],[Product Name]]," ",Ticket3[[#This Row],[Ticket Type]]," ")</f>
        <v xml:space="preserve">IZARA EYE HOSPITAL Pathanamthitta REVO 60 PMS </v>
      </c>
    </row>
    <row r="222" spans="1:19" x14ac:dyDescent="0.25">
      <c r="A222" s="3">
        <v>45990</v>
      </c>
      <c r="B222" s="4" t="s">
        <v>2230</v>
      </c>
      <c r="C222" s="2">
        <v>46356</v>
      </c>
      <c r="D222" s="1" t="s">
        <v>2896</v>
      </c>
      <c r="E222" s="1" t="s">
        <v>2897</v>
      </c>
      <c r="F222" s="4" t="s">
        <v>2898</v>
      </c>
      <c r="G222" s="4" t="s">
        <v>1196</v>
      </c>
      <c r="H222" s="4" t="s">
        <v>2234</v>
      </c>
      <c r="I222" s="4" t="s">
        <v>2327</v>
      </c>
      <c r="J222" t="s">
        <v>2899</v>
      </c>
      <c r="K222" s="1" t="s">
        <v>2237</v>
      </c>
      <c r="L222" s="1" t="s">
        <v>2238</v>
      </c>
      <c r="M222" s="1" t="s">
        <v>1196</v>
      </c>
      <c r="N222" s="9">
        <v>46179</v>
      </c>
      <c r="O222" s="9">
        <v>45964</v>
      </c>
      <c r="P222" s="9">
        <v>45797</v>
      </c>
      <c r="Q222" s="9">
        <v>45636</v>
      </c>
      <c r="R222" s="10" t="str">
        <f>HYPERLINK(_xlfn.CONCAT("https://mhmpl.sangamcrm.com/tickets/",Ticket3[[#This Row],[Id]]))</f>
        <v>https://mhmpl.sangamcrm.com/tickets/8e0ada06-94f5-4cb3-be35-417f1400cbe7</v>
      </c>
      <c r="S222" s="9" t="str">
        <f>_xlfn.CONCAT(Ticket3[[#This Row],[Account Name]]," ",Ticket3[[#This Row],[City]]," ",Ticket3[[#This Row],[Product Name]]," ",Ticket3[[#This Row],[Ticket Type]]," ")</f>
        <v xml:space="preserve">MOULANA HOSPITAL PERINTHALMANNA FT-1000 PMS </v>
      </c>
    </row>
    <row r="223" spans="1:19" x14ac:dyDescent="0.25">
      <c r="A223" s="3">
        <v>45992</v>
      </c>
      <c r="B223" s="4" t="s">
        <v>2230</v>
      </c>
      <c r="C223" s="2">
        <v>46356</v>
      </c>
      <c r="D223" s="1" t="s">
        <v>2896</v>
      </c>
      <c r="E223" s="1" t="s">
        <v>2897</v>
      </c>
      <c r="F223" s="4" t="s">
        <v>2241</v>
      </c>
      <c r="G223" s="4" t="s">
        <v>1230</v>
      </c>
      <c r="H223" s="4" t="s">
        <v>2234</v>
      </c>
      <c r="I223" s="4" t="s">
        <v>2327</v>
      </c>
      <c r="J223" t="s">
        <v>2900</v>
      </c>
      <c r="K223" s="1" t="s">
        <v>2237</v>
      </c>
      <c r="L223" s="1" t="s">
        <v>2238</v>
      </c>
      <c r="M223" s="1" t="s">
        <v>1230</v>
      </c>
      <c r="N223" s="9">
        <v>46179</v>
      </c>
      <c r="O223" s="9">
        <v>46058</v>
      </c>
      <c r="P223" s="9">
        <v>45873</v>
      </c>
      <c r="Q223" s="9">
        <v>45797</v>
      </c>
      <c r="R223" s="10" t="str">
        <f>HYPERLINK(_xlfn.CONCAT("https://mhmpl.sangamcrm.com/tickets/",Ticket3[[#This Row],[Id]]))</f>
        <v>https://mhmpl.sangamcrm.com/tickets/d8028e02-ce66-4329-a007-1b4a1adc70ab</v>
      </c>
      <c r="S223" s="9" t="str">
        <f>_xlfn.CONCAT(Ticket3[[#This Row],[Account Name]]," ",Ticket3[[#This Row],[City]]," ",Ticket3[[#This Row],[Product Name]]," ",Ticket3[[#This Row],[Ticket Type]]," ")</f>
        <v xml:space="preserve">MOULANA HOSPITAL PERINTHALMANNA TMS-4N PMS </v>
      </c>
    </row>
    <row r="224" spans="1:19" x14ac:dyDescent="0.25">
      <c r="A224" s="3">
        <v>56249</v>
      </c>
      <c r="B224" s="4" t="s">
        <v>2312</v>
      </c>
      <c r="C224" s="2">
        <v>46309</v>
      </c>
      <c r="D224" s="1" t="s">
        <v>2524</v>
      </c>
      <c r="E224" s="1" t="s">
        <v>2525</v>
      </c>
      <c r="F224" s="4" t="s">
        <v>2526</v>
      </c>
      <c r="G224" s="4" t="s">
        <v>52</v>
      </c>
      <c r="H224" s="4" t="s">
        <v>2249</v>
      </c>
      <c r="I224" s="4" t="s">
        <v>2337</v>
      </c>
      <c r="J224" t="s">
        <v>2527</v>
      </c>
      <c r="K224" s="1" t="s">
        <v>2332</v>
      </c>
      <c r="L224" s="1" t="s">
        <v>2251</v>
      </c>
      <c r="M224" s="1" t="s">
        <v>52</v>
      </c>
      <c r="N224" s="9"/>
      <c r="O224" s="9"/>
      <c r="P224" s="9"/>
      <c r="Q224" s="9"/>
      <c r="R224" s="10" t="str">
        <f>HYPERLINK(_xlfn.CONCAT("https://mhmpl.sangamcrm.com/tickets/",Ticket3[[#This Row],[Id]]))</f>
        <v>https://mhmpl.sangamcrm.com/tickets/b95c5c81-0cc5-413b-a18f-5516f604cbc6</v>
      </c>
      <c r="S224" s="9" t="str">
        <f>_xlfn.CONCAT(Ticket3[[#This Row],[Account Name]]," ",Ticket3[[#This Row],[City]]," ",Ticket3[[#This Row],[Product Name]]," ",Ticket3[[#This Row],[Ticket Type]]," ")</f>
        <v xml:space="preserve">APPASAMY OCULAR DEVICES (P)LTD. PUDUCHERRY RS120A Service </v>
      </c>
    </row>
    <row r="225" spans="1:19" x14ac:dyDescent="0.25">
      <c r="A225" s="3">
        <v>56660</v>
      </c>
      <c r="B225" s="4" t="s">
        <v>2293</v>
      </c>
      <c r="C225" s="2">
        <v>46317</v>
      </c>
      <c r="D225" s="1" t="s">
        <v>2524</v>
      </c>
      <c r="E225" s="1" t="s">
        <v>2525</v>
      </c>
      <c r="F225" s="4" t="s">
        <v>2526</v>
      </c>
      <c r="G225" s="4" t="s">
        <v>151</v>
      </c>
      <c r="H225" s="4" t="s">
        <v>2249</v>
      </c>
      <c r="I225" s="4" t="s">
        <v>2337</v>
      </c>
      <c r="J225" t="s">
        <v>2662</v>
      </c>
      <c r="K225" s="1" t="s">
        <v>2332</v>
      </c>
      <c r="L225" s="1" t="s">
        <v>2251</v>
      </c>
      <c r="M225" s="1" t="s">
        <v>151</v>
      </c>
      <c r="N225" s="9">
        <v>46204</v>
      </c>
      <c r="O225" s="9"/>
      <c r="P225" s="9"/>
      <c r="Q225" s="9"/>
      <c r="R225" s="10" t="str">
        <f>HYPERLINK(_xlfn.CONCAT("https://mhmpl.sangamcrm.com/tickets/",Ticket3[[#This Row],[Id]]))</f>
        <v>https://mhmpl.sangamcrm.com/tickets/4b8bfc86-757f-473c-a90d-e6d71d28ab81</v>
      </c>
      <c r="S225" s="9" t="str">
        <f>_xlfn.CONCAT(Ticket3[[#This Row],[Account Name]]," ",Ticket3[[#This Row],[City]]," ",Ticket3[[#This Row],[Product Name]]," ",Ticket3[[#This Row],[Ticket Type]]," ")</f>
        <v xml:space="preserve">APPASAMY OCULAR DEVICES (P)LTD. PUDUCHERRY RS120A Service </v>
      </c>
    </row>
    <row r="226" spans="1:19" x14ac:dyDescent="0.25">
      <c r="A226" s="3">
        <v>42635</v>
      </c>
      <c r="B226" s="4" t="s">
        <v>2230</v>
      </c>
      <c r="C226" s="2">
        <v>46326</v>
      </c>
      <c r="D226" s="1" t="s">
        <v>2528</v>
      </c>
      <c r="E226" s="1" t="s">
        <v>2529</v>
      </c>
      <c r="F226" s="4" t="s">
        <v>2233</v>
      </c>
      <c r="G226" s="4" t="s">
        <v>245</v>
      </c>
      <c r="H226" s="4" t="s">
        <v>2234</v>
      </c>
      <c r="I226" s="4" t="s">
        <v>2337</v>
      </c>
      <c r="J226" t="s">
        <v>2530</v>
      </c>
      <c r="K226" s="1" t="s">
        <v>2332</v>
      </c>
      <c r="L226" s="1" t="s">
        <v>2283</v>
      </c>
      <c r="M226" s="1" t="s">
        <v>245</v>
      </c>
      <c r="N226" s="9">
        <v>46155</v>
      </c>
      <c r="O226" s="9"/>
      <c r="P226" s="9"/>
      <c r="Q226" s="9"/>
      <c r="R226" s="10" t="str">
        <f>HYPERLINK(_xlfn.CONCAT("https://mhmpl.sangamcrm.com/tickets/",Ticket3[[#This Row],[Id]]))</f>
        <v>https://mhmpl.sangamcrm.com/tickets/cc9ff2a1-aff7-4393-a428-ca0888ed5925</v>
      </c>
      <c r="S226" s="9" t="str">
        <f>_xlfn.CONCAT(Ticket3[[#This Row],[Account Name]]," ",Ticket3[[#This Row],[City]]," ",Ticket3[[#This Row],[Product Name]]," ",Ticket3[[#This Row],[Ticket Type]]," ")</f>
        <v xml:space="preserve">ARCHANA EYE CARE Puducherry REVO 60 PMS </v>
      </c>
    </row>
    <row r="227" spans="1:19" x14ac:dyDescent="0.25">
      <c r="A227" s="3">
        <v>44685</v>
      </c>
      <c r="B227" s="4" t="s">
        <v>2230</v>
      </c>
      <c r="C227" s="2">
        <v>46326</v>
      </c>
      <c r="D227" s="1" t="s">
        <v>2531</v>
      </c>
      <c r="E227" s="1" t="s">
        <v>2525</v>
      </c>
      <c r="F227" s="4" t="s">
        <v>2278</v>
      </c>
      <c r="G227" s="4" t="s">
        <v>796</v>
      </c>
      <c r="H227" s="4" t="s">
        <v>2234</v>
      </c>
      <c r="I227" s="4" t="s">
        <v>2332</v>
      </c>
      <c r="J227" t="s">
        <v>2532</v>
      </c>
      <c r="K227" s="1" t="s">
        <v>2332</v>
      </c>
      <c r="L227" s="1" t="s">
        <v>2283</v>
      </c>
      <c r="M227" s="1" t="s">
        <v>796</v>
      </c>
      <c r="N227" s="9">
        <v>46161</v>
      </c>
      <c r="O227" s="9">
        <v>45964</v>
      </c>
      <c r="P227" s="9">
        <v>45785</v>
      </c>
      <c r="Q227" s="9">
        <v>45639</v>
      </c>
      <c r="R227" s="10" t="str">
        <f>HYPERLINK(_xlfn.CONCAT("https://mhmpl.sangamcrm.com/tickets/",Ticket3[[#This Row],[Id]]))</f>
        <v>https://mhmpl.sangamcrm.com/tickets/033a34e3-580e-4eb4-bee1-aed95bd98e10</v>
      </c>
      <c r="S227" s="9" t="str">
        <f>_xlfn.CONCAT(Ticket3[[#This Row],[Account Name]]," ",Ticket3[[#This Row],[City]]," ",Ticket3[[#This Row],[Product Name]]," ",Ticket3[[#This Row],[Ticket Type]]," ")</f>
        <v xml:space="preserve">ARAVIND EYE HOSPITAL-PONDICHERRY PUDUCHERRY EVOLUTION 3E PMS </v>
      </c>
    </row>
    <row r="228" spans="1:19" x14ac:dyDescent="0.25">
      <c r="A228" s="3">
        <v>48019</v>
      </c>
      <c r="B228" s="4" t="s">
        <v>2230</v>
      </c>
      <c r="C228" s="2">
        <v>46326</v>
      </c>
      <c r="D228" s="1" t="s">
        <v>2533</v>
      </c>
      <c r="E228" s="1" t="s">
        <v>2534</v>
      </c>
      <c r="F228" s="4" t="s">
        <v>2254</v>
      </c>
      <c r="G228" s="4" t="s">
        <v>118</v>
      </c>
      <c r="H228" s="4" t="s">
        <v>2234</v>
      </c>
      <c r="I228" s="4" t="s">
        <v>2237</v>
      </c>
      <c r="J228" t="s">
        <v>2535</v>
      </c>
      <c r="K228" s="1" t="s">
        <v>2237</v>
      </c>
      <c r="L228" s="1" t="s">
        <v>2283</v>
      </c>
      <c r="M228" s="1" t="s">
        <v>118</v>
      </c>
      <c r="N228" s="9"/>
      <c r="O228" s="9"/>
      <c r="P228" s="9"/>
      <c r="Q228" s="9"/>
      <c r="R228" s="10" t="str">
        <f>HYPERLINK(_xlfn.CONCAT("https://mhmpl.sangamcrm.com/tickets/",Ticket3[[#This Row],[Id]]))</f>
        <v>https://mhmpl.sangamcrm.com/tickets/fd1c08ef-b1d7-4c38-8fb3-11360b59e6f1</v>
      </c>
      <c r="S228" s="9" t="str">
        <f>_xlfn.CONCAT(Ticket3[[#This Row],[Account Name]]," ",Ticket3[[#This Row],[City]]," ",Ticket3[[#This Row],[Product Name]]," ",Ticket3[[#This Row],[Ticket Type]]," ")</f>
        <v xml:space="preserve">SANKAR'S EYE HOSPITAL PUNALUR IDRA FULL PMS </v>
      </c>
    </row>
    <row r="229" spans="1:19" x14ac:dyDescent="0.25">
      <c r="A229" s="3">
        <v>44281</v>
      </c>
      <c r="B229" s="4" t="s">
        <v>2230</v>
      </c>
      <c r="C229" s="2">
        <v>46356</v>
      </c>
      <c r="D229" s="1" t="s">
        <v>2775</v>
      </c>
      <c r="E229" s="1" t="s">
        <v>2776</v>
      </c>
      <c r="F229" s="4" t="s">
        <v>2286</v>
      </c>
      <c r="G229" s="4" t="s">
        <v>213</v>
      </c>
      <c r="H229" s="4" t="s">
        <v>2234</v>
      </c>
      <c r="I229" s="4" t="s">
        <v>2271</v>
      </c>
      <c r="J229" t="s">
        <v>2777</v>
      </c>
      <c r="K229" s="1" t="s">
        <v>2266</v>
      </c>
      <c r="L229" s="1" t="s">
        <v>2238</v>
      </c>
      <c r="M229" s="1" t="s">
        <v>213</v>
      </c>
      <c r="N229" s="9">
        <v>46148</v>
      </c>
      <c r="O229" s="9"/>
      <c r="P229" s="9"/>
      <c r="Q229" s="9"/>
      <c r="R229" s="10" t="str">
        <f>HYPERLINK(_xlfn.CONCAT("https://mhmpl.sangamcrm.com/tickets/",Ticket3[[#This Row],[Id]]))</f>
        <v>https://mhmpl.sangamcrm.com/tickets/38c69ba6-8565-4d40-801e-eb2ac8e154c0</v>
      </c>
      <c r="S229" s="9" t="str">
        <f>_xlfn.CONCAT(Ticket3[[#This Row],[Account Name]]," ",Ticket3[[#This Row],[City]]," ",Ticket3[[#This Row],[Product Name]]," ",Ticket3[[#This Row],[Ticket Type]]," ")</f>
        <v xml:space="preserve">THRISHALA DEVI EYE HOSPITAL RABKAVI Rabkavi REVO FC PMS </v>
      </c>
    </row>
    <row r="230" spans="1:19" x14ac:dyDescent="0.25">
      <c r="A230" s="3">
        <v>41327</v>
      </c>
      <c r="B230" s="4" t="s">
        <v>2230</v>
      </c>
      <c r="C230" s="2">
        <v>46326</v>
      </c>
      <c r="D230" s="1" t="s">
        <v>2536</v>
      </c>
      <c r="E230" s="1" t="s">
        <v>2537</v>
      </c>
      <c r="F230" s="4" t="s">
        <v>2286</v>
      </c>
      <c r="G230" s="4" t="s">
        <v>577</v>
      </c>
      <c r="H230" s="4" t="s">
        <v>2234</v>
      </c>
      <c r="I230" s="4" t="s">
        <v>2271</v>
      </c>
      <c r="J230" t="s">
        <v>2538</v>
      </c>
      <c r="K230" s="1" t="s">
        <v>2266</v>
      </c>
      <c r="L230" s="1" t="s">
        <v>2283</v>
      </c>
      <c r="M230" s="1" t="s">
        <v>577</v>
      </c>
      <c r="N230" s="9">
        <v>46293</v>
      </c>
      <c r="O230" s="9">
        <v>46196</v>
      </c>
      <c r="P230" s="9">
        <v>46010</v>
      </c>
      <c r="Q230" s="9">
        <v>45866</v>
      </c>
      <c r="R230" s="10" t="str">
        <f>HYPERLINK(_xlfn.CONCAT("https://mhmpl.sangamcrm.com/tickets/",Ticket3[[#This Row],[Id]]))</f>
        <v>https://mhmpl.sangamcrm.com/tickets/f3d77702-a08b-4848-af86-be1ad287f55a</v>
      </c>
      <c r="S230" s="9" t="str">
        <f>_xlfn.CONCAT(Ticket3[[#This Row],[Account Name]]," ",Ticket3[[#This Row],[City]]," ",Ticket3[[#This Row],[Product Name]]," ",Ticket3[[#This Row],[Ticket Type]]," ")</f>
        <v xml:space="preserve">MM JOSHI EYE INSTITUTE RAICHUR Raichur REVO FC PMS </v>
      </c>
    </row>
    <row r="231" spans="1:19" x14ac:dyDescent="0.25">
      <c r="A231" s="3">
        <v>54829</v>
      </c>
      <c r="B231" s="4" t="s">
        <v>2230</v>
      </c>
      <c r="C231" s="2">
        <v>46356</v>
      </c>
      <c r="D231" s="1" t="s">
        <v>2539</v>
      </c>
      <c r="E231" s="1" t="s">
        <v>2540</v>
      </c>
      <c r="F231" s="4" t="s">
        <v>2308</v>
      </c>
      <c r="G231" s="4" t="s">
        <v>373</v>
      </c>
      <c r="H231" s="4" t="s">
        <v>2234</v>
      </c>
      <c r="I231" s="4" t="s">
        <v>2348</v>
      </c>
      <c r="J231" t="s">
        <v>2803</v>
      </c>
      <c r="K231" s="1" t="s">
        <v>2244</v>
      </c>
      <c r="L231" s="1" t="s">
        <v>2238</v>
      </c>
      <c r="M231" s="1" t="s">
        <v>373</v>
      </c>
      <c r="N231" s="9"/>
      <c r="O231" s="9"/>
      <c r="P231" s="9"/>
      <c r="Q231" s="9"/>
      <c r="R231" s="10" t="str">
        <f>HYPERLINK(_xlfn.CONCAT("https://mhmpl.sangamcrm.com/tickets/",Ticket3[[#This Row],[Id]]))</f>
        <v>https://mhmpl.sangamcrm.com/tickets/bbc517e4-c884-4a28-b637-5d69c46c2a5e</v>
      </c>
      <c r="S231" s="9" t="str">
        <f>_xlfn.CONCAT(Ticket3[[#This Row],[Account Name]]," ",Ticket3[[#This Row],[City]]," ",Ticket3[[#This Row],[Product Name]]," ",Ticket3[[#This Row],[Ticket Type]]," ")</f>
        <v xml:space="preserve">Dr Satyas Eye Hospital Rajahmundry Rajah undry PTS 2000 PMS </v>
      </c>
    </row>
    <row r="232" spans="1:19" x14ac:dyDescent="0.25">
      <c r="A232" s="3">
        <v>54989</v>
      </c>
      <c r="B232" s="4" t="s">
        <v>2329</v>
      </c>
      <c r="C232" s="2">
        <v>46275</v>
      </c>
      <c r="D232" s="1" t="s">
        <v>2539</v>
      </c>
      <c r="E232" s="1" t="s">
        <v>2540</v>
      </c>
      <c r="F232" s="4" t="s">
        <v>2269</v>
      </c>
      <c r="G232" s="4" t="s">
        <v>372</v>
      </c>
      <c r="H232" s="4" t="s">
        <v>2330</v>
      </c>
      <c r="I232" s="4" t="s">
        <v>2348</v>
      </c>
      <c r="J232" t="s">
        <v>2541</v>
      </c>
      <c r="K232" s="1" t="s">
        <v>2244</v>
      </c>
      <c r="L232" s="1" t="s">
        <v>2251</v>
      </c>
      <c r="M232" s="1" t="s">
        <v>372</v>
      </c>
      <c r="N232" s="9"/>
      <c r="O232" s="9"/>
      <c r="P232" s="9"/>
      <c r="Q232" s="9"/>
      <c r="R232" s="10" t="str">
        <f>HYPERLINK(_xlfn.CONCAT("https://mhmpl.sangamcrm.com/tickets/",Ticket3[[#This Row],[Id]]))</f>
        <v>https://mhmpl.sangamcrm.com/tickets/ae4c38d6-1c2a-4ef8-b0de-a29e92d7cbd1</v>
      </c>
      <c r="S232" s="9" t="str">
        <f>_xlfn.CONCAT(Ticket3[[#This Row],[Account Name]]," ",Ticket3[[#This Row],[City]]," ",Ticket3[[#This Row],[Product Name]]," ",Ticket3[[#This Row],[Ticket Type]]," ")</f>
        <v xml:space="preserve">Dr Satyas Eye Hospital Rajahmundry Rajah undry DGH 6000 Installation </v>
      </c>
    </row>
    <row r="233" spans="1:19" x14ac:dyDescent="0.25">
      <c r="A233" s="3">
        <v>50823</v>
      </c>
      <c r="B233" s="4" t="s">
        <v>2230</v>
      </c>
      <c r="C233" s="2">
        <v>46356</v>
      </c>
      <c r="D233" s="1" t="s">
        <v>2816</v>
      </c>
      <c r="E233" s="1" t="s">
        <v>2817</v>
      </c>
      <c r="F233" s="4" t="s">
        <v>2286</v>
      </c>
      <c r="G233" s="4" t="s">
        <v>385</v>
      </c>
      <c r="H233" s="4" t="s">
        <v>2234</v>
      </c>
      <c r="I233" s="4" t="s">
        <v>2348</v>
      </c>
      <c r="J233" t="s">
        <v>2818</v>
      </c>
      <c r="K233" s="1" t="s">
        <v>2244</v>
      </c>
      <c r="L233" s="1" t="s">
        <v>2238</v>
      </c>
      <c r="M233" s="1" t="s">
        <v>385</v>
      </c>
      <c r="N233" s="9">
        <v>46127</v>
      </c>
      <c r="O233" s="9">
        <v>45987</v>
      </c>
      <c r="P233" s="9"/>
      <c r="Q233" s="9"/>
      <c r="R233" s="10" t="str">
        <f>HYPERLINK(_xlfn.CONCAT("https://mhmpl.sangamcrm.com/tickets/",Ticket3[[#This Row],[Id]]))</f>
        <v>https://mhmpl.sangamcrm.com/tickets/85e7592f-11b4-4a82-a53d-cb891b8515c2</v>
      </c>
      <c r="S233" s="9" t="str">
        <f>_xlfn.CONCAT(Ticket3[[#This Row],[Account Name]]," ",Ticket3[[#This Row],[City]]," ",Ticket3[[#This Row],[Product Name]]," ",Ticket3[[#This Row],[Ticket Type]]," ")</f>
        <v xml:space="preserve">Om Sri Ram Eye Care &amp; Retina Centre RAJAHMUNDRY REVO FC PMS </v>
      </c>
    </row>
    <row r="234" spans="1:19" x14ac:dyDescent="0.25">
      <c r="A234" s="3">
        <v>49985</v>
      </c>
      <c r="B234" s="4" t="s">
        <v>2230</v>
      </c>
      <c r="C234" s="2">
        <v>46336</v>
      </c>
      <c r="D234" s="1" t="s">
        <v>2542</v>
      </c>
      <c r="E234" s="1" t="s">
        <v>2543</v>
      </c>
      <c r="F234" s="4" t="s">
        <v>2288</v>
      </c>
      <c r="G234" s="4" t="s">
        <v>1107</v>
      </c>
      <c r="H234" s="4" t="s">
        <v>2234</v>
      </c>
      <c r="I234" s="4" t="s">
        <v>2348</v>
      </c>
      <c r="J234" t="s">
        <v>2544</v>
      </c>
      <c r="K234" s="1" t="s">
        <v>2244</v>
      </c>
      <c r="L234" s="1" t="s">
        <v>2238</v>
      </c>
      <c r="M234" s="1" t="s">
        <v>1107</v>
      </c>
      <c r="N234" s="9">
        <v>46156</v>
      </c>
      <c r="O234" s="9">
        <v>45987</v>
      </c>
      <c r="P234" s="9">
        <v>45769</v>
      </c>
      <c r="Q234" s="9">
        <v>45623</v>
      </c>
      <c r="R234" s="10" t="str">
        <f>HYPERLINK(_xlfn.CONCAT("https://mhmpl.sangamcrm.com/tickets/",Ticket3[[#This Row],[Id]]))</f>
        <v>https://mhmpl.sangamcrm.com/tickets/f7521245-cd97-489e-8166-d31148305f12</v>
      </c>
      <c r="S234" s="9" t="str">
        <f>_xlfn.CONCAT(Ticket3[[#This Row],[Account Name]]," ",Ticket3[[#This Row],[City]]," ",Ticket3[[#This Row],[Product Name]]," ",Ticket3[[#This Row],[Ticket Type]]," ")</f>
        <v xml:space="preserve">Smart vision Rajahmundry Rajahmundry HS-2522BL PMS </v>
      </c>
    </row>
    <row r="235" spans="1:19" x14ac:dyDescent="0.25">
      <c r="A235" s="3">
        <v>52120</v>
      </c>
      <c r="B235" s="4" t="s">
        <v>2230</v>
      </c>
      <c r="C235" s="2">
        <v>46356</v>
      </c>
      <c r="D235" s="1" t="s">
        <v>2939</v>
      </c>
      <c r="E235" s="1" t="s">
        <v>2817</v>
      </c>
      <c r="F235" s="4" t="s">
        <v>2711</v>
      </c>
      <c r="G235" s="4" t="s">
        <v>1659</v>
      </c>
      <c r="H235" s="4" t="s">
        <v>2234</v>
      </c>
      <c r="I235" s="4" t="s">
        <v>2348</v>
      </c>
      <c r="J235" t="s">
        <v>2940</v>
      </c>
      <c r="K235" s="1" t="s">
        <v>2244</v>
      </c>
      <c r="L235" s="1" t="s">
        <v>2238</v>
      </c>
      <c r="M235" s="1" t="s">
        <v>1659</v>
      </c>
      <c r="N235" s="9">
        <v>46155</v>
      </c>
      <c r="O235" s="9">
        <v>46017</v>
      </c>
      <c r="P235" s="9">
        <v>45819</v>
      </c>
      <c r="Q235" s="9">
        <v>45650</v>
      </c>
      <c r="R235" s="10" t="str">
        <f>HYPERLINK(_xlfn.CONCAT("https://mhmpl.sangamcrm.com/tickets/",Ticket3[[#This Row],[Id]]))</f>
        <v>https://mhmpl.sangamcrm.com/tickets/847848df-8fa3-4721-8a60-e0155c5ab679</v>
      </c>
      <c r="S235" s="9" t="str">
        <f>_xlfn.CONCAT(Ticket3[[#This Row],[Account Name]]," ",Ticket3[[#This Row],[City]]," ",Ticket3[[#This Row],[Product Name]]," ",Ticket3[[#This Row],[Ticket Type]]," ")</f>
        <v xml:space="preserve">AKIRA EYE HOSPITAL RAJAHMUNDRY SL9900 PMS </v>
      </c>
    </row>
    <row r="236" spans="1:19" x14ac:dyDescent="0.25">
      <c r="A236" s="3">
        <v>51158</v>
      </c>
      <c r="B236" s="4" t="s">
        <v>2230</v>
      </c>
      <c r="C236" s="2">
        <v>46356</v>
      </c>
      <c r="D236" s="1" t="s">
        <v>2939</v>
      </c>
      <c r="E236" s="1" t="s">
        <v>2817</v>
      </c>
      <c r="F236" s="4" t="s">
        <v>2334</v>
      </c>
      <c r="G236" s="4" t="s">
        <v>1686</v>
      </c>
      <c r="H236" s="4" t="s">
        <v>2234</v>
      </c>
      <c r="I236" s="4" t="s">
        <v>2348</v>
      </c>
      <c r="J236" t="s">
        <v>2941</v>
      </c>
      <c r="K236" s="1" t="s">
        <v>2244</v>
      </c>
      <c r="L236" s="1" t="s">
        <v>2238</v>
      </c>
      <c r="M236" s="1" t="s">
        <v>1686</v>
      </c>
      <c r="N236" s="9">
        <v>46155</v>
      </c>
      <c r="O236" s="9">
        <v>46017</v>
      </c>
      <c r="P236" s="9">
        <v>45819</v>
      </c>
      <c r="Q236" s="9">
        <v>45762</v>
      </c>
      <c r="R236" s="10" t="str">
        <f>HYPERLINK(_xlfn.CONCAT("https://mhmpl.sangamcrm.com/tickets/",Ticket3[[#This Row],[Id]]))</f>
        <v>https://mhmpl.sangamcrm.com/tickets/256a71f8-5579-49b6-928f-41e0a32b3c58</v>
      </c>
      <c r="S236" s="9" t="str">
        <f>_xlfn.CONCAT(Ticket3[[#This Row],[Account Name]]," ",Ticket3[[#This Row],[City]]," ",Ticket3[[#This Row],[Product Name]]," ",Ticket3[[#This Row],[Ticket Type]]," ")</f>
        <v xml:space="preserve">AKIRA EYE HOSPITAL RAJAHMUNDRY SIRIUS PMS </v>
      </c>
    </row>
    <row r="237" spans="1:19" x14ac:dyDescent="0.25">
      <c r="A237" s="3">
        <v>51907</v>
      </c>
      <c r="B237" s="4" t="s">
        <v>2230</v>
      </c>
      <c r="C237" s="2">
        <v>46356</v>
      </c>
      <c r="D237" s="1" t="s">
        <v>2737</v>
      </c>
      <c r="E237" s="1" t="s">
        <v>2738</v>
      </c>
      <c r="F237" s="4" t="s">
        <v>2559</v>
      </c>
      <c r="G237" s="4" t="s">
        <v>53</v>
      </c>
      <c r="H237" s="4" t="s">
        <v>2234</v>
      </c>
      <c r="I237" s="4" t="s">
        <v>2348</v>
      </c>
      <c r="J237" t="s">
        <v>2739</v>
      </c>
      <c r="K237" s="1" t="s">
        <v>2244</v>
      </c>
      <c r="L237" s="1" t="s">
        <v>2238</v>
      </c>
      <c r="M237" s="1" t="s">
        <v>53</v>
      </c>
      <c r="N237" s="9"/>
      <c r="O237" s="9"/>
      <c r="P237" s="9"/>
      <c r="Q237" s="9"/>
      <c r="R237" s="10" t="str">
        <f>HYPERLINK(_xlfn.CONCAT("https://mhmpl.sangamcrm.com/tickets/",Ticket3[[#This Row],[Id]]))</f>
        <v>https://mhmpl.sangamcrm.com/tickets/d183ab2b-4bb9-41e0-b5e0-307872c04e0b</v>
      </c>
      <c r="S237" s="9" t="str">
        <f>_xlfn.CONCAT(Ticket3[[#This Row],[Account Name]]," ",Ticket3[[#This Row],[City]]," ",Ticket3[[#This Row],[Product Name]]," ",Ticket3[[#This Row],[Ticket Type]]," ")</f>
        <v xml:space="preserve">Dr. Agarwal's Eye Hospital - Rajamundry Rajamundry Antares+ PMS </v>
      </c>
    </row>
    <row r="238" spans="1:19" x14ac:dyDescent="0.25">
      <c r="A238" s="3">
        <v>50490</v>
      </c>
      <c r="B238" s="4" t="s">
        <v>2230</v>
      </c>
      <c r="C238" s="2">
        <v>46326</v>
      </c>
      <c r="D238" s="1" t="s">
        <v>2545</v>
      </c>
      <c r="E238" s="1" t="s">
        <v>2546</v>
      </c>
      <c r="F238" s="4" t="s">
        <v>2288</v>
      </c>
      <c r="G238" s="4" t="s">
        <v>88</v>
      </c>
      <c r="H238" s="4" t="s">
        <v>2234</v>
      </c>
      <c r="I238" s="4" t="s">
        <v>2407</v>
      </c>
      <c r="J238" t="s">
        <v>2547</v>
      </c>
      <c r="K238" s="1" t="s">
        <v>2260</v>
      </c>
      <c r="L238" s="1" t="s">
        <v>2283</v>
      </c>
      <c r="M238" s="1" t="s">
        <v>88</v>
      </c>
      <c r="N238" s="9"/>
      <c r="O238" s="9"/>
      <c r="P238" s="9"/>
      <c r="Q238" s="9"/>
      <c r="R238" s="10" t="str">
        <f>HYPERLINK(_xlfn.CONCAT("https://mhmpl.sangamcrm.com/tickets/",Ticket3[[#This Row],[Id]]))</f>
        <v>https://mhmpl.sangamcrm.com/tickets/a8f69077-1206-45fc-808f-62d081bff4e7</v>
      </c>
      <c r="S238" s="9" t="str">
        <f>_xlfn.CONCAT(Ticket3[[#This Row],[Account Name]]," ",Ticket3[[#This Row],[City]]," ",Ticket3[[#This Row],[Product Name]]," ",Ticket3[[#This Row],[Ticket Type]]," ")</f>
        <v xml:space="preserve">Sree Sudha Netralaya Rangareddy HS-2522BL PMS </v>
      </c>
    </row>
    <row r="239" spans="1:19" x14ac:dyDescent="0.25">
      <c r="A239" s="3">
        <v>47528</v>
      </c>
      <c r="B239" s="4" t="s">
        <v>2230</v>
      </c>
      <c r="C239" s="2">
        <v>46326</v>
      </c>
      <c r="D239" s="1" t="s">
        <v>2548</v>
      </c>
      <c r="E239" s="1" t="s">
        <v>2549</v>
      </c>
      <c r="F239" s="4" t="s">
        <v>2248</v>
      </c>
      <c r="G239" s="4" t="s">
        <v>128</v>
      </c>
      <c r="H239" s="4" t="s">
        <v>2234</v>
      </c>
      <c r="I239" s="4" t="s">
        <v>2257</v>
      </c>
      <c r="J239" t="s">
        <v>2550</v>
      </c>
      <c r="K239" s="1" t="s">
        <v>2257</v>
      </c>
      <c r="L239" s="1" t="s">
        <v>2283</v>
      </c>
      <c r="M239" s="1" t="s">
        <v>128</v>
      </c>
      <c r="N239" s="9"/>
      <c r="O239" s="9"/>
      <c r="P239" s="9"/>
      <c r="Q239" s="9"/>
      <c r="R239" s="10" t="str">
        <f>HYPERLINK(_xlfn.CONCAT("https://mhmpl.sangamcrm.com/tickets/",Ticket3[[#This Row],[Id]]))</f>
        <v>https://mhmpl.sangamcrm.com/tickets/d50302e8-16d8-4612-a56a-d01982ef2fef</v>
      </c>
      <c r="S239" s="9" t="str">
        <f>_xlfn.CONCAT(Ticket3[[#This Row],[Account Name]]," ",Ticket3[[#This Row],[City]]," ",Ticket3[[#This Row],[Product Name]]," ",Ticket3[[#This Row],[Ticket Type]]," ")</f>
        <v xml:space="preserve">ARUL EYE CARE SALEM E-Eye PMS </v>
      </c>
    </row>
    <row r="240" spans="1:19" x14ac:dyDescent="0.25">
      <c r="A240" s="3">
        <v>41362</v>
      </c>
      <c r="B240" s="4" t="s">
        <v>2230</v>
      </c>
      <c r="C240" s="2">
        <v>46326</v>
      </c>
      <c r="D240" s="1" t="s">
        <v>2551</v>
      </c>
      <c r="E240" s="1" t="s">
        <v>2549</v>
      </c>
      <c r="F240" s="4" t="s">
        <v>2288</v>
      </c>
      <c r="G240" s="4" t="s">
        <v>282</v>
      </c>
      <c r="H240" s="4" t="s">
        <v>2234</v>
      </c>
      <c r="I240" s="4" t="s">
        <v>2257</v>
      </c>
      <c r="J240" t="s">
        <v>2552</v>
      </c>
      <c r="K240" s="1" t="s">
        <v>2257</v>
      </c>
      <c r="L240" s="1" t="s">
        <v>2283</v>
      </c>
      <c r="M240" s="1" t="s">
        <v>282</v>
      </c>
      <c r="N240" s="9">
        <v>46199</v>
      </c>
      <c r="O240" s="9"/>
      <c r="P240" s="9"/>
      <c r="Q240" s="9"/>
      <c r="R240" s="10" t="str">
        <f>HYPERLINK(_xlfn.CONCAT("https://mhmpl.sangamcrm.com/tickets/",Ticket3[[#This Row],[Id]]))</f>
        <v>https://mhmpl.sangamcrm.com/tickets/27197785-61ee-4aee-b23d-110e4ccc5574</v>
      </c>
      <c r="S240" s="9" t="str">
        <f>_xlfn.CONCAT(Ticket3[[#This Row],[Account Name]]," ",Ticket3[[#This Row],[City]]," ",Ticket3[[#This Row],[Product Name]]," ",Ticket3[[#This Row],[Ticket Type]]," ")</f>
        <v xml:space="preserve">AGARWAL EYE HOSPITAL SALEM HS-2522BL PMS </v>
      </c>
    </row>
    <row r="241" spans="1:19" x14ac:dyDescent="0.25">
      <c r="A241" s="3">
        <v>50477</v>
      </c>
      <c r="B241" s="4" t="s">
        <v>2230</v>
      </c>
      <c r="C241" s="2">
        <v>46356</v>
      </c>
      <c r="D241" s="1" t="s">
        <v>2548</v>
      </c>
      <c r="E241" s="1" t="s">
        <v>2549</v>
      </c>
      <c r="F241" s="4" t="s">
        <v>2288</v>
      </c>
      <c r="G241" s="4" t="s">
        <v>200</v>
      </c>
      <c r="H241" s="4" t="s">
        <v>2234</v>
      </c>
      <c r="I241" s="4" t="s">
        <v>2255</v>
      </c>
      <c r="J241" t="s">
        <v>2781</v>
      </c>
      <c r="K241" s="1" t="s">
        <v>2257</v>
      </c>
      <c r="L241" s="1" t="s">
        <v>2238</v>
      </c>
      <c r="M241" s="1" t="s">
        <v>200</v>
      </c>
      <c r="N241" s="9">
        <v>46199</v>
      </c>
      <c r="O241" s="9"/>
      <c r="P241" s="9"/>
      <c r="Q241" s="9"/>
      <c r="R241" s="10" t="str">
        <f>HYPERLINK(_xlfn.CONCAT("https://mhmpl.sangamcrm.com/tickets/",Ticket3[[#This Row],[Id]]))</f>
        <v>https://mhmpl.sangamcrm.com/tickets/88819214-3705-41cf-9c71-3008fae77a5c</v>
      </c>
      <c r="S241" s="9" t="str">
        <f>_xlfn.CONCAT(Ticket3[[#This Row],[Account Name]]," ",Ticket3[[#This Row],[City]]," ",Ticket3[[#This Row],[Product Name]]," ",Ticket3[[#This Row],[Ticket Type]]," ")</f>
        <v xml:space="preserve">ARUL EYE CARE SALEM HS-2522BL PMS </v>
      </c>
    </row>
    <row r="242" spans="1:19" x14ac:dyDescent="0.25">
      <c r="A242" s="3">
        <v>44033</v>
      </c>
      <c r="B242" s="4" t="s">
        <v>2230</v>
      </c>
      <c r="C242" s="2">
        <v>46356</v>
      </c>
      <c r="D242" s="1" t="s">
        <v>2790</v>
      </c>
      <c r="E242" s="1" t="s">
        <v>2791</v>
      </c>
      <c r="F242" s="4" t="s">
        <v>2275</v>
      </c>
      <c r="G242" s="4" t="s">
        <v>218</v>
      </c>
      <c r="H242" s="4" t="s">
        <v>2234</v>
      </c>
      <c r="I242" s="4" t="s">
        <v>2255</v>
      </c>
      <c r="J242" t="s">
        <v>2792</v>
      </c>
      <c r="K242" s="1" t="s">
        <v>2257</v>
      </c>
      <c r="L242" s="1" t="s">
        <v>2238</v>
      </c>
      <c r="M242" s="1" t="s">
        <v>218</v>
      </c>
      <c r="N242" s="9">
        <v>46198</v>
      </c>
      <c r="O242" s="9"/>
      <c r="P242" s="9"/>
      <c r="Q242" s="9"/>
      <c r="R242" s="10" t="str">
        <f>HYPERLINK(_xlfn.CONCAT("https://mhmpl.sangamcrm.com/tickets/",Ticket3[[#This Row],[Id]]))</f>
        <v>https://mhmpl.sangamcrm.com/tickets/37c6af93-0f03-457b-b6b2-7ed4dec07758</v>
      </c>
      <c r="S242" s="9" t="str">
        <f>_xlfn.CONCAT(Ticket3[[#This Row],[Account Name]]," ",Ticket3[[#This Row],[City]]," ",Ticket3[[#This Row],[Product Name]]," ",Ticket3[[#This Row],[Ticket Type]]," ")</f>
        <v xml:space="preserve">Aravind Eye Hospital Salem New Salem EM-4000 PMS </v>
      </c>
    </row>
    <row r="243" spans="1:19" x14ac:dyDescent="0.25">
      <c r="A243" s="3">
        <v>44031</v>
      </c>
      <c r="B243" s="4" t="s">
        <v>2230</v>
      </c>
      <c r="C243" s="2">
        <v>46356</v>
      </c>
      <c r="D243" s="1" t="s">
        <v>2790</v>
      </c>
      <c r="E243" s="1" t="s">
        <v>2791</v>
      </c>
      <c r="F243" s="4" t="s">
        <v>2321</v>
      </c>
      <c r="G243" s="4" t="s">
        <v>219</v>
      </c>
      <c r="H243" s="4" t="s">
        <v>2234</v>
      </c>
      <c r="I243" s="4" t="s">
        <v>2255</v>
      </c>
      <c r="J243" t="s">
        <v>2800</v>
      </c>
      <c r="K243" s="1" t="s">
        <v>2257</v>
      </c>
      <c r="L243" s="1" t="s">
        <v>2238</v>
      </c>
      <c r="M243" s="1" t="s">
        <v>219</v>
      </c>
      <c r="N243" s="9">
        <v>46198</v>
      </c>
      <c r="O243" s="9"/>
      <c r="P243" s="9"/>
      <c r="Q243" s="9"/>
      <c r="R243" s="10" t="str">
        <f>HYPERLINK(_xlfn.CONCAT("https://mhmpl.sangamcrm.com/tickets/",Ticket3[[#This Row],[Id]]))</f>
        <v>https://mhmpl.sangamcrm.com/tickets/53799171-8a45-4e05-b798-3bf832db3bd0</v>
      </c>
      <c r="S243" s="9" t="str">
        <f>_xlfn.CONCAT(Ticket3[[#This Row],[Account Name]]," ",Ticket3[[#This Row],[City]]," ",Ticket3[[#This Row],[Product Name]]," ",Ticket3[[#This Row],[Ticket Type]]," ")</f>
        <v xml:space="preserve">Aravind Eye Hospital Salem New Salem Pachette 4 PMS </v>
      </c>
    </row>
    <row r="244" spans="1:19" x14ac:dyDescent="0.25">
      <c r="A244" s="3">
        <v>51919</v>
      </c>
      <c r="B244" s="4" t="s">
        <v>2364</v>
      </c>
      <c r="C244" s="2">
        <v>46326</v>
      </c>
      <c r="D244" s="1" t="s">
        <v>2551</v>
      </c>
      <c r="E244" s="1" t="s">
        <v>2549</v>
      </c>
      <c r="F244" s="4" t="s">
        <v>2303</v>
      </c>
      <c r="G244" s="4" t="s">
        <v>1155</v>
      </c>
      <c r="H244" s="4" t="s">
        <v>2234</v>
      </c>
      <c r="I244" s="4" t="s">
        <v>2257</v>
      </c>
      <c r="J244" t="s">
        <v>2553</v>
      </c>
      <c r="K244" s="1" t="s">
        <v>2257</v>
      </c>
      <c r="L244" s="1" t="s">
        <v>2283</v>
      </c>
      <c r="M244" s="1" t="s">
        <v>1155</v>
      </c>
      <c r="N244" s="9">
        <v>46134</v>
      </c>
      <c r="O244" s="9">
        <v>45945</v>
      </c>
      <c r="P244" s="9">
        <v>45723</v>
      </c>
      <c r="Q244" s="9">
        <v>45498</v>
      </c>
      <c r="R244" s="10" t="str">
        <f>HYPERLINK(_xlfn.CONCAT("https://mhmpl.sangamcrm.com/tickets/",Ticket3[[#This Row],[Id]]))</f>
        <v>https://mhmpl.sangamcrm.com/tickets/0434947e-5111-4345-9e8e-cd3a886932eb</v>
      </c>
      <c r="S244" s="9" t="str">
        <f>_xlfn.CONCAT(Ticket3[[#This Row],[Account Name]]," ",Ticket3[[#This Row],[City]]," ",Ticket3[[#This Row],[Product Name]]," ",Ticket3[[#This Row],[Ticket Type]]," ")</f>
        <v xml:space="preserve">AGARWAL EYE HOSPITAL SALEM EX500 PMS </v>
      </c>
    </row>
    <row r="245" spans="1:19" x14ac:dyDescent="0.25">
      <c r="A245" s="3">
        <v>29314</v>
      </c>
      <c r="B245" s="4" t="s">
        <v>2230</v>
      </c>
      <c r="C245" s="2">
        <v>46326</v>
      </c>
      <c r="D245" s="1" t="s">
        <v>2375</v>
      </c>
      <c r="E245" s="1" t="s">
        <v>2549</v>
      </c>
      <c r="F245" s="4" t="s">
        <v>2554</v>
      </c>
      <c r="G245" s="4" t="s">
        <v>1870</v>
      </c>
      <c r="H245" s="4" t="s">
        <v>2234</v>
      </c>
      <c r="I245" s="4" t="s">
        <v>2255</v>
      </c>
      <c r="J245" t="s">
        <v>2555</v>
      </c>
      <c r="K245" s="1" t="s">
        <v>2257</v>
      </c>
      <c r="L245" s="1" t="s">
        <v>2283</v>
      </c>
      <c r="M245" s="1" t="s">
        <v>1870</v>
      </c>
      <c r="N245" s="9">
        <v>46202</v>
      </c>
      <c r="O245" s="9">
        <v>45967</v>
      </c>
      <c r="P245" s="9">
        <v>45927</v>
      </c>
      <c r="Q245" s="9">
        <v>45589</v>
      </c>
      <c r="R245" s="10" t="str">
        <f>HYPERLINK(_xlfn.CONCAT("https://mhmpl.sangamcrm.com/tickets/",Ticket3[[#This Row],[Id]]))</f>
        <v>https://mhmpl.sangamcrm.com/tickets/686e526b-0825-4b31-92ee-2b3bd605380f</v>
      </c>
      <c r="S245" s="9" t="str">
        <f>_xlfn.CONCAT(Ticket3[[#This Row],[Account Name]]," ",Ticket3[[#This Row],[City]]," ",Ticket3[[#This Row],[Product Name]]," ",Ticket3[[#This Row],[Ticket Type]]," ")</f>
        <v xml:space="preserve">LOTUS EYE HOSPITAL &amp; EYE INSTITUTE SALEM HS-2522SD PMS </v>
      </c>
    </row>
    <row r="246" spans="1:19" x14ac:dyDescent="0.25">
      <c r="A246" s="3">
        <v>56610</v>
      </c>
      <c r="B246" s="4" t="s">
        <v>2258</v>
      </c>
      <c r="C246" s="2">
        <v>46316</v>
      </c>
      <c r="D246" s="1" t="s">
        <v>2556</v>
      </c>
      <c r="E246" s="1" t="s">
        <v>2671</v>
      </c>
      <c r="F246" s="4" t="s">
        <v>2351</v>
      </c>
      <c r="G246" s="4" t="s">
        <v>1277</v>
      </c>
      <c r="H246" s="4" t="s">
        <v>2249</v>
      </c>
      <c r="I246" s="4" t="s">
        <v>2407</v>
      </c>
      <c r="J246" t="s">
        <v>2672</v>
      </c>
      <c r="K246" s="1" t="s">
        <v>2260</v>
      </c>
      <c r="L246" s="1" t="s">
        <v>2251</v>
      </c>
      <c r="M246" s="1" t="s">
        <v>1277</v>
      </c>
      <c r="N246" s="9">
        <v>46302</v>
      </c>
      <c r="O246" s="9">
        <v>46207</v>
      </c>
      <c r="P246" s="9">
        <v>46105</v>
      </c>
      <c r="Q246" s="9">
        <v>46031</v>
      </c>
      <c r="R246" s="10" t="str">
        <f>HYPERLINK(_xlfn.CONCAT("https://mhmpl.sangamcrm.com/tickets/",Ticket3[[#This Row],[Id]]))</f>
        <v>https://mhmpl.sangamcrm.com/tickets/2b17e4b1-9f6a-4409-a237-ecd596560ca3</v>
      </c>
      <c r="S246" s="9" t="str">
        <f>_xlfn.CONCAT(Ticket3[[#This Row],[Account Name]]," ",Ticket3[[#This Row],[City]]," ",Ticket3[[#This Row],[Product Name]]," ",Ticket3[[#This Row],[Ticket Type]]," ")</f>
        <v xml:space="preserve">MILITARY HOSPITAL - SECUNDERABAD Secunderabad SIRIUS+ Service </v>
      </c>
    </row>
    <row r="247" spans="1:19" x14ac:dyDescent="0.25">
      <c r="A247" s="3">
        <v>49636</v>
      </c>
      <c r="B247" s="4" t="s">
        <v>2230</v>
      </c>
      <c r="C247" s="2">
        <v>46326</v>
      </c>
      <c r="D247" s="1" t="s">
        <v>2557</v>
      </c>
      <c r="E247" s="1" t="s">
        <v>2558</v>
      </c>
      <c r="F247" s="4" t="s">
        <v>2559</v>
      </c>
      <c r="G247" s="4" t="s">
        <v>515</v>
      </c>
      <c r="H247" s="4" t="s">
        <v>2234</v>
      </c>
      <c r="I247" s="4" t="s">
        <v>2271</v>
      </c>
      <c r="J247" t="s">
        <v>2560</v>
      </c>
      <c r="K247" s="1" t="s">
        <v>2266</v>
      </c>
      <c r="L247" s="1" t="s">
        <v>2283</v>
      </c>
      <c r="M247" s="1" t="s">
        <v>515</v>
      </c>
      <c r="N247" s="9">
        <v>46063</v>
      </c>
      <c r="O247" s="9">
        <v>45908</v>
      </c>
      <c r="P247" s="9"/>
      <c r="Q247" s="9"/>
      <c r="R247" s="10" t="str">
        <f>HYPERLINK(_xlfn.CONCAT("https://mhmpl.sangamcrm.com/tickets/",Ticket3[[#This Row],[Id]]))</f>
        <v>https://mhmpl.sangamcrm.com/tickets/8a696302-e50f-499b-b24c-510a352644df</v>
      </c>
      <c r="S247" s="9" t="str">
        <f>_xlfn.CONCAT(Ticket3[[#This Row],[Account Name]]," ",Ticket3[[#This Row],[City]]," ",Ticket3[[#This Row],[Product Name]]," ",Ticket3[[#This Row],[Ticket Type]]," ")</f>
        <v xml:space="preserve">Sankara eye hospital shimoga town SHIMOGA Antares+ PMS </v>
      </c>
    </row>
    <row r="248" spans="1:19" x14ac:dyDescent="0.25">
      <c r="A248" s="3">
        <v>49354</v>
      </c>
      <c r="B248" s="4" t="s">
        <v>2230</v>
      </c>
      <c r="C248" s="2">
        <v>46326</v>
      </c>
      <c r="D248" s="1" t="s">
        <v>2561</v>
      </c>
      <c r="E248" s="1" t="s">
        <v>2558</v>
      </c>
      <c r="F248" s="4" t="s">
        <v>2334</v>
      </c>
      <c r="G248" s="4" t="s">
        <v>1614</v>
      </c>
      <c r="H248" s="4" t="s">
        <v>2234</v>
      </c>
      <c r="I248" s="4" t="s">
        <v>2271</v>
      </c>
      <c r="J248" t="s">
        <v>2562</v>
      </c>
      <c r="K248" s="1" t="s">
        <v>2266</v>
      </c>
      <c r="L248" s="1" t="s">
        <v>2283</v>
      </c>
      <c r="M248" s="1" t="s">
        <v>1614</v>
      </c>
      <c r="N248" s="9">
        <v>46059</v>
      </c>
      <c r="O248" s="9">
        <v>45908</v>
      </c>
      <c r="P248" s="9">
        <v>45686</v>
      </c>
      <c r="Q248" s="9">
        <v>45622</v>
      </c>
      <c r="R248" s="10" t="str">
        <f>HYPERLINK(_xlfn.CONCAT("https://mhmpl.sangamcrm.com/tickets/",Ticket3[[#This Row],[Id]]))</f>
        <v>https://mhmpl.sangamcrm.com/tickets/ff4ac684-f24e-449b-92e6-148e368fd0d4</v>
      </c>
      <c r="S248" s="9" t="str">
        <f>_xlfn.CONCAT(Ticket3[[#This Row],[Account Name]]," ",Ticket3[[#This Row],[City]]," ",Ticket3[[#This Row],[Product Name]]," ",Ticket3[[#This Row],[Ticket Type]]," ")</f>
        <v xml:space="preserve">SANKARA EYE HOSPITAL shimoga SHIMOGA SIRIUS PMS </v>
      </c>
    </row>
    <row r="249" spans="1:19" x14ac:dyDescent="0.25">
      <c r="A249" s="3">
        <v>49329</v>
      </c>
      <c r="B249" s="4" t="s">
        <v>2230</v>
      </c>
      <c r="C249" s="2">
        <v>46326</v>
      </c>
      <c r="D249" s="1" t="s">
        <v>2561</v>
      </c>
      <c r="E249" s="1" t="s">
        <v>2558</v>
      </c>
      <c r="F249" s="4" t="s">
        <v>2319</v>
      </c>
      <c r="G249" s="4" t="s">
        <v>1975</v>
      </c>
      <c r="H249" s="4" t="s">
        <v>2234</v>
      </c>
      <c r="I249" s="4" t="s">
        <v>2271</v>
      </c>
      <c r="J249" t="s">
        <v>2563</v>
      </c>
      <c r="K249" s="1" t="s">
        <v>2266</v>
      </c>
      <c r="L249" s="1" t="s">
        <v>2283</v>
      </c>
      <c r="M249" s="1" t="s">
        <v>1975</v>
      </c>
      <c r="N249" s="9">
        <v>45686</v>
      </c>
      <c r="O249" s="9">
        <v>45622</v>
      </c>
      <c r="P249" s="9">
        <v>45331</v>
      </c>
      <c r="Q249" s="9">
        <v>45187</v>
      </c>
      <c r="R249" s="10" t="str">
        <f>HYPERLINK(_xlfn.CONCAT("https://mhmpl.sangamcrm.com/tickets/",Ticket3[[#This Row],[Id]]))</f>
        <v>https://mhmpl.sangamcrm.com/tickets/80b1f6c9-282a-454b-874c-4e68658034ce</v>
      </c>
      <c r="S249" s="9" t="str">
        <f>_xlfn.CONCAT(Ticket3[[#This Row],[Account Name]]," ",Ticket3[[#This Row],[City]]," ",Ticket3[[#This Row],[Product Name]]," ",Ticket3[[#This Row],[Ticket Type]]," ")</f>
        <v xml:space="preserve">SANKARA EYE HOSPITAL shimoga SHIMOGA HS-2321BD PMS </v>
      </c>
    </row>
    <row r="250" spans="1:19" x14ac:dyDescent="0.25">
      <c r="A250" s="3">
        <v>49297</v>
      </c>
      <c r="B250" s="4" t="s">
        <v>2230</v>
      </c>
      <c r="C250" s="2">
        <v>46326</v>
      </c>
      <c r="D250" s="1" t="s">
        <v>2561</v>
      </c>
      <c r="E250" s="1" t="s">
        <v>2558</v>
      </c>
      <c r="F250" s="4" t="s">
        <v>2278</v>
      </c>
      <c r="G250" s="4" t="s">
        <v>2089</v>
      </c>
      <c r="H250" s="4" t="s">
        <v>2234</v>
      </c>
      <c r="I250" s="4" t="s">
        <v>2271</v>
      </c>
      <c r="J250" t="s">
        <v>2564</v>
      </c>
      <c r="K250" s="1" t="s">
        <v>2266</v>
      </c>
      <c r="L250" s="1" t="s">
        <v>2283</v>
      </c>
      <c r="M250" s="1" t="s">
        <v>2089</v>
      </c>
      <c r="N250" s="9">
        <v>46059</v>
      </c>
      <c r="O250" s="9">
        <v>45908</v>
      </c>
      <c r="P250" s="9">
        <v>45686</v>
      </c>
      <c r="Q250" s="9">
        <v>45622</v>
      </c>
      <c r="R250" s="10" t="str">
        <f>HYPERLINK(_xlfn.CONCAT("https://mhmpl.sangamcrm.com/tickets/",Ticket3[[#This Row],[Id]]))</f>
        <v>https://mhmpl.sangamcrm.com/tickets/331ab9f1-773d-49b8-9d9b-5515eebc0c44</v>
      </c>
      <c r="S250" s="9" t="str">
        <f>_xlfn.CONCAT(Ticket3[[#This Row],[Account Name]]," ",Ticket3[[#This Row],[City]]," ",Ticket3[[#This Row],[Product Name]]," ",Ticket3[[#This Row],[Ticket Type]]," ")</f>
        <v xml:space="preserve">SANKARA EYE HOSPITAL shimoga SHIMOGA EVOLUTION 3E PMS </v>
      </c>
    </row>
    <row r="251" spans="1:19" x14ac:dyDescent="0.25">
      <c r="A251" s="3">
        <v>49638</v>
      </c>
      <c r="B251" s="4" t="s">
        <v>2230</v>
      </c>
      <c r="C251" s="2">
        <v>46326</v>
      </c>
      <c r="D251" s="1" t="s">
        <v>2561</v>
      </c>
      <c r="E251" s="1" t="s">
        <v>2558</v>
      </c>
      <c r="F251" s="4" t="s">
        <v>2565</v>
      </c>
      <c r="G251" s="4" t="s">
        <v>2164</v>
      </c>
      <c r="H251" s="4" t="s">
        <v>2234</v>
      </c>
      <c r="I251" s="4" t="s">
        <v>2271</v>
      </c>
      <c r="J251" t="s">
        <v>2566</v>
      </c>
      <c r="K251" s="1" t="s">
        <v>2266</v>
      </c>
      <c r="L251" s="1" t="s">
        <v>2283</v>
      </c>
      <c r="M251" s="1" t="s">
        <v>2164</v>
      </c>
      <c r="N251" s="9">
        <v>45908</v>
      </c>
      <c r="O251" s="9">
        <v>45622</v>
      </c>
      <c r="P251" s="9">
        <v>45359</v>
      </c>
      <c r="Q251" s="9">
        <v>45187</v>
      </c>
      <c r="R251" s="10" t="str">
        <f>HYPERLINK(_xlfn.CONCAT("https://mhmpl.sangamcrm.com/tickets/",Ticket3[[#This Row],[Id]]))</f>
        <v>https://mhmpl.sangamcrm.com/tickets/c2360074-ea49-47ad-826f-03967795e922</v>
      </c>
      <c r="S251" s="9" t="str">
        <f>_xlfn.CONCAT(Ticket3[[#This Row],[Account Name]]," ",Ticket3[[#This Row],[City]]," ",Ticket3[[#This Row],[Product Name]]," ",Ticket3[[#This Row],[Ticket Type]]," ")</f>
        <v xml:space="preserve">SANKARA EYE HOSPITAL shimoga SHIMOGA SP-3000 PMS </v>
      </c>
    </row>
    <row r="252" spans="1:19" x14ac:dyDescent="0.25">
      <c r="A252" s="3">
        <v>50031</v>
      </c>
      <c r="B252" s="4" t="s">
        <v>2230</v>
      </c>
      <c r="C252" s="2">
        <v>46326</v>
      </c>
      <c r="D252" s="1" t="s">
        <v>2567</v>
      </c>
      <c r="E252" s="1" t="s">
        <v>2568</v>
      </c>
      <c r="F252" s="4" t="s">
        <v>2286</v>
      </c>
      <c r="G252" s="4" t="s">
        <v>933</v>
      </c>
      <c r="H252" s="4" t="s">
        <v>2234</v>
      </c>
      <c r="I252" s="4" t="s">
        <v>2281</v>
      </c>
      <c r="J252" t="s">
        <v>2569</v>
      </c>
      <c r="K252" s="1" t="s">
        <v>2266</v>
      </c>
      <c r="L252" s="1" t="s">
        <v>2283</v>
      </c>
      <c r="M252" s="1" t="s">
        <v>933</v>
      </c>
      <c r="N252" s="9">
        <v>46190</v>
      </c>
      <c r="O252" s="9">
        <v>46088</v>
      </c>
      <c r="P252" s="9">
        <v>45843</v>
      </c>
      <c r="Q252" s="9">
        <v>45622</v>
      </c>
      <c r="R252" s="10" t="str">
        <f>HYPERLINK(_xlfn.CONCAT("https://mhmpl.sangamcrm.com/tickets/",Ticket3[[#This Row],[Id]]))</f>
        <v>https://mhmpl.sangamcrm.com/tickets/febe8b67-3fd8-4558-8690-5cff994a7a69</v>
      </c>
      <c r="S252" s="9" t="str">
        <f>_xlfn.CONCAT(Ticket3[[#This Row],[Account Name]]," ",Ticket3[[#This Row],[City]]," ",Ticket3[[#This Row],[Product Name]]," ",Ticket3[[#This Row],[Ticket Type]]," ")</f>
        <v xml:space="preserve">Sapthagiri Eye Hospital Sindhanur REVO FC PMS </v>
      </c>
    </row>
    <row r="253" spans="1:19" x14ac:dyDescent="0.25">
      <c r="A253" s="3">
        <v>43138</v>
      </c>
      <c r="B253" s="4" t="s">
        <v>2230</v>
      </c>
      <c r="C253" s="2">
        <v>46326</v>
      </c>
      <c r="D253" s="1" t="s">
        <v>2570</v>
      </c>
      <c r="E253" s="1" t="s">
        <v>2571</v>
      </c>
      <c r="F253" s="4" t="s">
        <v>2275</v>
      </c>
      <c r="G253" s="4" t="s">
        <v>542</v>
      </c>
      <c r="H253" s="4" t="s">
        <v>2234</v>
      </c>
      <c r="I253" s="4" t="s">
        <v>2327</v>
      </c>
      <c r="J253" t="s">
        <v>2572</v>
      </c>
      <c r="K253" s="1" t="s">
        <v>2237</v>
      </c>
      <c r="L253" s="1" t="s">
        <v>2283</v>
      </c>
      <c r="M253" s="1" t="s">
        <v>542</v>
      </c>
      <c r="N253" s="9">
        <v>46188</v>
      </c>
      <c r="O253" s="9">
        <v>45947</v>
      </c>
      <c r="P253" s="9">
        <v>45770</v>
      </c>
      <c r="Q253" s="9"/>
      <c r="R253" s="10" t="str">
        <f>HYPERLINK(_xlfn.CONCAT("https://mhmpl.sangamcrm.com/tickets/",Ticket3[[#This Row],[Id]]))</f>
        <v>https://mhmpl.sangamcrm.com/tickets/ff12b402-cf2a-4132-a5db-f8d0e2a2c7d3</v>
      </c>
      <c r="S253" s="9" t="str">
        <f>_xlfn.CONCAT(Ticket3[[#This Row],[Account Name]]," ",Ticket3[[#This Row],[City]]," ",Ticket3[[#This Row],[Product Name]]," ",Ticket3[[#This Row],[Ticket Type]]," ")</f>
        <v xml:space="preserve">COMTRUST EYE HOSPITAL Thalassery EM-4000 PMS </v>
      </c>
    </row>
    <row r="254" spans="1:19" x14ac:dyDescent="0.25">
      <c r="A254" s="3">
        <v>50696</v>
      </c>
      <c r="B254" s="4" t="s">
        <v>2230</v>
      </c>
      <c r="C254" s="2">
        <v>46356</v>
      </c>
      <c r="D254" s="1" t="s">
        <v>2761</v>
      </c>
      <c r="E254" s="1" t="s">
        <v>2762</v>
      </c>
      <c r="F254" s="4" t="s">
        <v>2321</v>
      </c>
      <c r="G254" s="4" t="s">
        <v>67</v>
      </c>
      <c r="H254" s="4" t="s">
        <v>2234</v>
      </c>
      <c r="I254" s="4" t="s">
        <v>2255</v>
      </c>
      <c r="J254" t="s">
        <v>2763</v>
      </c>
      <c r="K254" s="1" t="s">
        <v>2257</v>
      </c>
      <c r="L254" s="1" t="s">
        <v>2238</v>
      </c>
      <c r="M254" s="1" t="s">
        <v>67</v>
      </c>
      <c r="N254" s="9"/>
      <c r="O254" s="9"/>
      <c r="P254" s="9"/>
      <c r="Q254" s="9"/>
      <c r="R254" s="10" t="str">
        <f>HYPERLINK(_xlfn.CONCAT("https://mhmpl.sangamcrm.com/tickets/",Ticket3[[#This Row],[Id]]))</f>
        <v>https://mhmpl.sangamcrm.com/tickets/257a8eef-8799-40aa-a01b-223a65916f20</v>
      </c>
      <c r="S254" s="9" t="str">
        <f>_xlfn.CONCAT(Ticket3[[#This Row],[Account Name]]," ",Ticket3[[#This Row],[City]]," ",Ticket3[[#This Row],[Product Name]]," ",Ticket3[[#This Row],[Ticket Type]]," ")</f>
        <v xml:space="preserve">DR. AGARWAL'S HEALTH CARE LIMITED THENI Pachette 4 PMS </v>
      </c>
    </row>
    <row r="255" spans="1:19" x14ac:dyDescent="0.25">
      <c r="A255" s="3">
        <v>50693</v>
      </c>
      <c r="B255" s="4" t="s">
        <v>2230</v>
      </c>
      <c r="C255" s="2">
        <v>46356</v>
      </c>
      <c r="D255" s="1" t="s">
        <v>2761</v>
      </c>
      <c r="E255" s="1" t="s">
        <v>2762</v>
      </c>
      <c r="F255" s="4" t="s">
        <v>2241</v>
      </c>
      <c r="G255" s="4" t="s">
        <v>69</v>
      </c>
      <c r="H255" s="4" t="s">
        <v>2234</v>
      </c>
      <c r="I255" s="4" t="s">
        <v>2255</v>
      </c>
      <c r="J255" t="s">
        <v>2764</v>
      </c>
      <c r="K255" s="1" t="s">
        <v>2257</v>
      </c>
      <c r="L255" s="1" t="s">
        <v>2238</v>
      </c>
      <c r="M255" s="1" t="s">
        <v>69</v>
      </c>
      <c r="N255" s="9"/>
      <c r="O255" s="9"/>
      <c r="P255" s="9"/>
      <c r="Q255" s="9"/>
      <c r="R255" s="10" t="str">
        <f>HYPERLINK(_xlfn.CONCAT("https://mhmpl.sangamcrm.com/tickets/",Ticket3[[#This Row],[Id]]))</f>
        <v>https://mhmpl.sangamcrm.com/tickets/cbd724b7-b496-4784-a561-ada2012697e9</v>
      </c>
      <c r="S255" s="9" t="str">
        <f>_xlfn.CONCAT(Ticket3[[#This Row],[Account Name]]," ",Ticket3[[#This Row],[City]]," ",Ticket3[[#This Row],[Product Name]]," ",Ticket3[[#This Row],[Ticket Type]]," ")</f>
        <v xml:space="preserve">DR. AGARWAL'S HEALTH CARE LIMITED THENI TMS-4N PMS </v>
      </c>
    </row>
    <row r="256" spans="1:19" x14ac:dyDescent="0.25">
      <c r="A256" s="3">
        <v>50807</v>
      </c>
      <c r="B256" s="4" t="s">
        <v>2230</v>
      </c>
      <c r="C256" s="2">
        <v>46326</v>
      </c>
      <c r="D256" s="1" t="s">
        <v>2573</v>
      </c>
      <c r="E256" s="1" t="s">
        <v>2574</v>
      </c>
      <c r="F256" s="4" t="s">
        <v>2254</v>
      </c>
      <c r="G256" s="4" t="s">
        <v>222</v>
      </c>
      <c r="H256" s="4" t="s">
        <v>2234</v>
      </c>
      <c r="I256" s="4" t="s">
        <v>2235</v>
      </c>
      <c r="J256" t="s">
        <v>2575</v>
      </c>
      <c r="K256" s="1" t="s">
        <v>2237</v>
      </c>
      <c r="L256" s="1" t="s">
        <v>2283</v>
      </c>
      <c r="M256" s="1" t="s">
        <v>222</v>
      </c>
      <c r="N256" s="9">
        <v>46210</v>
      </c>
      <c r="O256" s="9"/>
      <c r="P256" s="9"/>
      <c r="Q256" s="9"/>
      <c r="R256" s="10" t="str">
        <f>HYPERLINK(_xlfn.CONCAT("https://mhmpl.sangamcrm.com/tickets/",Ticket3[[#This Row],[Id]]))</f>
        <v>https://mhmpl.sangamcrm.com/tickets/c2bd5de7-0be3-4e47-9371-acbcd6b6d79c</v>
      </c>
      <c r="S256" s="9" t="str">
        <f>_xlfn.CONCAT(Ticket3[[#This Row],[Account Name]]," ",Ticket3[[#This Row],[City]]," ",Ticket3[[#This Row],[Product Name]]," ",Ticket3[[#This Row],[Ticket Type]]," ")</f>
        <v xml:space="preserve">EYE MICROSURGERY AND LASER CENTRE Thiruvalla IDRA FULL PMS </v>
      </c>
    </row>
    <row r="257" spans="1:19" x14ac:dyDescent="0.25">
      <c r="A257" s="3">
        <v>55564</v>
      </c>
      <c r="B257" s="4" t="s">
        <v>2358</v>
      </c>
      <c r="C257" s="2">
        <v>46288</v>
      </c>
      <c r="D257" s="1" t="s">
        <v>2576</v>
      </c>
      <c r="E257" s="1" t="s">
        <v>2577</v>
      </c>
      <c r="F257" s="4" t="s">
        <v>2351</v>
      </c>
      <c r="G257" s="4" t="s">
        <v>949</v>
      </c>
      <c r="H257" s="4" t="s">
        <v>2249</v>
      </c>
      <c r="I257" s="4" t="s">
        <v>2327</v>
      </c>
      <c r="J257" t="s">
        <v>2578</v>
      </c>
      <c r="K257" s="1" t="s">
        <v>2237</v>
      </c>
      <c r="L257" s="1" t="s">
        <v>2251</v>
      </c>
      <c r="M257" s="1" t="s">
        <v>949</v>
      </c>
      <c r="N257" s="9">
        <v>46206</v>
      </c>
      <c r="O257" s="9">
        <v>45965</v>
      </c>
      <c r="P257" s="9">
        <v>45770</v>
      </c>
      <c r="Q257" s="9">
        <v>45621</v>
      </c>
      <c r="R257" s="10" t="str">
        <f>HYPERLINK(_xlfn.CONCAT("https://mhmpl.sangamcrm.com/tickets/",Ticket3[[#This Row],[Id]]))</f>
        <v>https://mhmpl.sangamcrm.com/tickets/3de0ec05-c3a1-4d34-ae83-ff5a31252cf9</v>
      </c>
      <c r="S257" s="9" t="str">
        <f>_xlfn.CONCAT(Ticket3[[#This Row],[Account Name]]," ",Ticket3[[#This Row],[City]]," ",Ticket3[[#This Row],[Product Name]]," ",Ticket3[[#This Row],[Ticket Type]]," ")</f>
        <v xml:space="preserve">CHAITHANYA EYE HOSPITAL &amp; RESEARCH CENTRE THIRUVALLA SIRIUS+ Service </v>
      </c>
    </row>
    <row r="258" spans="1:19" x14ac:dyDescent="0.25">
      <c r="A258" s="3">
        <v>55649</v>
      </c>
      <c r="B258" s="4" t="s">
        <v>2258</v>
      </c>
      <c r="C258" s="2">
        <v>46293</v>
      </c>
      <c r="D258" s="1" t="s">
        <v>2579</v>
      </c>
      <c r="E258" s="1" t="s">
        <v>2580</v>
      </c>
      <c r="F258" s="4" t="s">
        <v>2269</v>
      </c>
      <c r="G258" s="4" t="s">
        <v>2190</v>
      </c>
      <c r="H258" s="4" t="s">
        <v>2330</v>
      </c>
      <c r="I258" s="4" t="s">
        <v>2237</v>
      </c>
      <c r="J258" t="s">
        <v>2581</v>
      </c>
      <c r="K258" s="1" t="s">
        <v>2237</v>
      </c>
      <c r="L258" s="1" t="s">
        <v>2251</v>
      </c>
      <c r="M258" s="1" t="s">
        <v>2190</v>
      </c>
      <c r="N258" s="9"/>
      <c r="O258" s="9"/>
      <c r="P258" s="9"/>
      <c r="Q258" s="9"/>
      <c r="R258" s="10" t="str">
        <f>HYPERLINK(_xlfn.CONCAT("https://mhmpl.sangamcrm.com/tickets/",Ticket3[[#This Row],[Id]]))</f>
        <v>https://mhmpl.sangamcrm.com/tickets/542cceb6-3329-4d28-9d78-9aaec3f51ac6</v>
      </c>
      <c r="S258" s="9" t="str">
        <f>_xlfn.CONCAT(Ticket3[[#This Row],[Account Name]]," ",Ticket3[[#This Row],[City]]," ",Ticket3[[#This Row],[Product Name]]," ",Ticket3[[#This Row],[Ticket Type]]," ")</f>
        <v xml:space="preserve">Chaithanya Sight Foundation Eye Hospital Thiruvananthapuram DGH 6000 Installation </v>
      </c>
    </row>
    <row r="259" spans="1:19" x14ac:dyDescent="0.25">
      <c r="A259" s="3">
        <v>18783</v>
      </c>
      <c r="B259" s="4" t="s">
        <v>2230</v>
      </c>
      <c r="C259" s="2">
        <v>46356</v>
      </c>
      <c r="D259" s="1" t="s">
        <v>2849</v>
      </c>
      <c r="E259" s="1" t="s">
        <v>2850</v>
      </c>
      <c r="F259" s="4" t="s">
        <v>2286</v>
      </c>
      <c r="G259" s="4" t="s">
        <v>777</v>
      </c>
      <c r="H259" s="4" t="s">
        <v>2234</v>
      </c>
      <c r="I259" s="4" t="s">
        <v>2237</v>
      </c>
      <c r="J259" t="s">
        <v>2851</v>
      </c>
      <c r="K259" s="1" t="s">
        <v>2237</v>
      </c>
      <c r="L259" s="1" t="s">
        <v>2238</v>
      </c>
      <c r="M259" s="1" t="s">
        <v>777</v>
      </c>
      <c r="N259" s="9">
        <v>46206</v>
      </c>
      <c r="O259" s="9">
        <v>46008</v>
      </c>
      <c r="P259" s="9">
        <v>45808</v>
      </c>
      <c r="Q259" s="9">
        <v>45623</v>
      </c>
      <c r="R259" s="10" t="str">
        <f>HYPERLINK(_xlfn.CONCAT("https://mhmpl.sangamcrm.com/tickets/",Ticket3[[#This Row],[Id]]))</f>
        <v>https://mhmpl.sangamcrm.com/tickets/de624130-c229-4e2a-956e-7b477a720e30</v>
      </c>
      <c r="S259" s="9" t="str">
        <f>_xlfn.CONCAT(Ticket3[[#This Row],[Account Name]]," ",Ticket3[[#This Row],[City]]," ",Ticket3[[#This Row],[Product Name]]," ",Ticket3[[#This Row],[Ticket Type]]," ")</f>
        <v xml:space="preserve">ALPHONSA EYE HOSPITAL THODUPUZHA REVO FC PMS </v>
      </c>
    </row>
    <row r="260" spans="1:19" x14ac:dyDescent="0.25">
      <c r="A260" s="3">
        <v>46221</v>
      </c>
      <c r="B260" s="4" t="s">
        <v>2230</v>
      </c>
      <c r="C260" s="2">
        <v>46356</v>
      </c>
      <c r="D260" s="1" t="s">
        <v>2849</v>
      </c>
      <c r="E260" s="1" t="s">
        <v>2850</v>
      </c>
      <c r="F260" s="4" t="s">
        <v>2275</v>
      </c>
      <c r="G260" s="4" t="s">
        <v>1042</v>
      </c>
      <c r="H260" s="4" t="s">
        <v>2234</v>
      </c>
      <c r="I260" s="4" t="s">
        <v>2235</v>
      </c>
      <c r="J260" t="s">
        <v>2878</v>
      </c>
      <c r="K260" s="1" t="s">
        <v>2237</v>
      </c>
      <c r="L260" s="1" t="s">
        <v>2238</v>
      </c>
      <c r="M260" s="1" t="s">
        <v>1042</v>
      </c>
      <c r="N260" s="9">
        <v>46206</v>
      </c>
      <c r="O260" s="9">
        <v>46008</v>
      </c>
      <c r="P260" s="9">
        <v>45808</v>
      </c>
      <c r="Q260" s="9">
        <v>45649</v>
      </c>
      <c r="R260" s="10" t="str">
        <f>HYPERLINK(_xlfn.CONCAT("https://mhmpl.sangamcrm.com/tickets/",Ticket3[[#This Row],[Id]]))</f>
        <v>https://mhmpl.sangamcrm.com/tickets/d37c83c9-0c17-4b59-a773-ed80aca3864f</v>
      </c>
      <c r="S260" s="9" t="str">
        <f>_xlfn.CONCAT(Ticket3[[#This Row],[Account Name]]," ",Ticket3[[#This Row],[City]]," ",Ticket3[[#This Row],[Product Name]]," ",Ticket3[[#This Row],[Ticket Type]]," ")</f>
        <v xml:space="preserve">ALPHONSA EYE HOSPITAL THODUPUZHA EM-4000 PMS </v>
      </c>
    </row>
    <row r="261" spans="1:19" x14ac:dyDescent="0.25">
      <c r="A261" s="3">
        <v>48149</v>
      </c>
      <c r="B261" s="4" t="s">
        <v>2230</v>
      </c>
      <c r="C261" s="2">
        <v>46356</v>
      </c>
      <c r="D261" s="1" t="s">
        <v>2849</v>
      </c>
      <c r="E261" s="1" t="s">
        <v>2850</v>
      </c>
      <c r="F261" s="4" t="s">
        <v>2284</v>
      </c>
      <c r="G261" s="4" t="s">
        <v>1328</v>
      </c>
      <c r="H261" s="4" t="s">
        <v>2234</v>
      </c>
      <c r="I261" s="4" t="s">
        <v>2235</v>
      </c>
      <c r="J261" t="s">
        <v>2904</v>
      </c>
      <c r="K261" s="1" t="s">
        <v>2237</v>
      </c>
      <c r="L261" s="1" t="s">
        <v>2238</v>
      </c>
      <c r="M261" s="1" t="s">
        <v>1328</v>
      </c>
      <c r="N261" s="9">
        <v>46206</v>
      </c>
      <c r="O261" s="9">
        <v>46008</v>
      </c>
      <c r="P261" s="9">
        <v>45808</v>
      </c>
      <c r="Q261" s="9">
        <v>45623</v>
      </c>
      <c r="R261" s="10" t="str">
        <f>HYPERLINK(_xlfn.CONCAT("https://mhmpl.sangamcrm.com/tickets/",Ticket3[[#This Row],[Id]]))</f>
        <v>https://mhmpl.sangamcrm.com/tickets/245e2973-df51-4a9e-a2a2-01019a10e052</v>
      </c>
      <c r="S261" s="9" t="str">
        <f>_xlfn.CONCAT(Ticket3[[#This Row],[Account Name]]," ",Ticket3[[#This Row],[City]]," ",Ticket3[[#This Row],[Product Name]]," ",Ticket3[[#This Row],[Ticket Type]]," ")</f>
        <v xml:space="preserve">ALPHONSA EYE HOSPITAL THODUPUZHA OA-2000 PMS </v>
      </c>
    </row>
    <row r="262" spans="1:19" x14ac:dyDescent="0.25">
      <c r="A262" s="3">
        <v>46213</v>
      </c>
      <c r="B262" s="4" t="s">
        <v>2230</v>
      </c>
      <c r="C262" s="2">
        <v>46356</v>
      </c>
      <c r="D262" s="1" t="s">
        <v>2849</v>
      </c>
      <c r="E262" s="1" t="s">
        <v>2850</v>
      </c>
      <c r="F262" s="4" t="s">
        <v>2554</v>
      </c>
      <c r="G262" s="4" t="s">
        <v>1691</v>
      </c>
      <c r="H262" s="4" t="s">
        <v>2234</v>
      </c>
      <c r="I262" s="4" t="s">
        <v>2235</v>
      </c>
      <c r="J262" t="s">
        <v>2942</v>
      </c>
      <c r="K262" s="1" t="s">
        <v>2237</v>
      </c>
      <c r="L262" s="1" t="s">
        <v>2238</v>
      </c>
      <c r="M262" s="1" t="s">
        <v>1691</v>
      </c>
      <c r="N262" s="9">
        <v>46206</v>
      </c>
      <c r="O262" s="9">
        <v>46008</v>
      </c>
      <c r="P262" s="9">
        <v>45808</v>
      </c>
      <c r="Q262" s="9">
        <v>45649</v>
      </c>
      <c r="R262" s="10" t="str">
        <f>HYPERLINK(_xlfn.CONCAT("https://mhmpl.sangamcrm.com/tickets/",Ticket3[[#This Row],[Id]]))</f>
        <v>https://mhmpl.sangamcrm.com/tickets/d87a3d3a-2900-482f-9fc8-57567603a446</v>
      </c>
      <c r="S262" s="9" t="str">
        <f>_xlfn.CONCAT(Ticket3[[#This Row],[Account Name]]," ",Ticket3[[#This Row],[City]]," ",Ticket3[[#This Row],[Product Name]]," ",Ticket3[[#This Row],[Ticket Type]]," ")</f>
        <v xml:space="preserve">ALPHONSA EYE HOSPITAL THODUPUZHA HS-2522SD PMS </v>
      </c>
    </row>
    <row r="263" spans="1:19" x14ac:dyDescent="0.25">
      <c r="A263" s="3">
        <v>51310</v>
      </c>
      <c r="B263" s="4" t="s">
        <v>2230</v>
      </c>
      <c r="C263" s="2">
        <v>46326</v>
      </c>
      <c r="D263" s="1" t="s">
        <v>2582</v>
      </c>
      <c r="E263" s="1" t="s">
        <v>2583</v>
      </c>
      <c r="F263" s="4" t="s">
        <v>2241</v>
      </c>
      <c r="G263" s="4" t="s">
        <v>678</v>
      </c>
      <c r="H263" s="4" t="s">
        <v>2234</v>
      </c>
      <c r="I263" s="4" t="s">
        <v>2327</v>
      </c>
      <c r="J263" t="s">
        <v>2584</v>
      </c>
      <c r="K263" s="1" t="s">
        <v>2237</v>
      </c>
      <c r="L263" s="1" t="s">
        <v>2283</v>
      </c>
      <c r="M263" s="1" t="s">
        <v>678</v>
      </c>
      <c r="N263" s="9">
        <v>46202</v>
      </c>
      <c r="O263" s="9">
        <v>45937</v>
      </c>
      <c r="P263" s="9">
        <v>45706</v>
      </c>
      <c r="Q263" s="9">
        <v>45565</v>
      </c>
      <c r="R263" s="10" t="str">
        <f>HYPERLINK(_xlfn.CONCAT("https://mhmpl.sangamcrm.com/tickets/",Ticket3[[#This Row],[Id]]))</f>
        <v>https://mhmpl.sangamcrm.com/tickets/5446cfff-b794-404b-9bd1-3e888fbb5e6e</v>
      </c>
      <c r="S263" s="9" t="str">
        <f>_xlfn.CONCAT(Ticket3[[#This Row],[Account Name]]," ",Ticket3[[#This Row],[City]]," ",Ticket3[[#This Row],[Product Name]]," ",Ticket3[[#This Row],[Ticket Type]]," ")</f>
        <v xml:space="preserve">I VISION EYE HOSPITAL Thrissur TMS-4N PMS </v>
      </c>
    </row>
    <row r="264" spans="1:19" x14ac:dyDescent="0.25">
      <c r="A264" s="3">
        <v>44869</v>
      </c>
      <c r="B264" s="4" t="s">
        <v>2230</v>
      </c>
      <c r="C264" s="2">
        <v>46356</v>
      </c>
      <c r="D264" s="1" t="s">
        <v>2667</v>
      </c>
      <c r="E264" s="1" t="s">
        <v>2668</v>
      </c>
      <c r="F264" s="4" t="s">
        <v>2275</v>
      </c>
      <c r="G264" s="4" t="s">
        <v>763</v>
      </c>
      <c r="H264" s="4" t="s">
        <v>2234</v>
      </c>
      <c r="I264" s="4" t="s">
        <v>2327</v>
      </c>
      <c r="J264" t="s">
        <v>2843</v>
      </c>
      <c r="K264" s="1" t="s">
        <v>2237</v>
      </c>
      <c r="L264" s="1" t="s">
        <v>2238</v>
      </c>
      <c r="M264" s="1" t="s">
        <v>763</v>
      </c>
      <c r="N264" s="9">
        <v>46210</v>
      </c>
      <c r="O264" s="9">
        <v>45974</v>
      </c>
      <c r="P264" s="9">
        <v>45805</v>
      </c>
      <c r="Q264" s="9">
        <v>45633</v>
      </c>
      <c r="R264" s="10" t="str">
        <f>HYPERLINK(_xlfn.CONCAT("https://mhmpl.sangamcrm.com/tickets/",Ticket3[[#This Row],[Id]]))</f>
        <v>https://mhmpl.sangamcrm.com/tickets/3d9fe51a-7fe3-4125-8650-90541403b02d</v>
      </c>
      <c r="S264" s="9" t="str">
        <f>_xlfn.CONCAT(Ticket3[[#This Row],[Account Name]]," ",Ticket3[[#This Row],[City]]," ",Ticket3[[#This Row],[Product Name]]," ",Ticket3[[#This Row],[Ticket Type]]," ")</f>
        <v xml:space="preserve">AARYA EYE CARE THRISSUR EM-4000 PMS </v>
      </c>
    </row>
    <row r="265" spans="1:19" x14ac:dyDescent="0.25">
      <c r="A265" s="3">
        <v>44871</v>
      </c>
      <c r="B265" s="4" t="s">
        <v>2230</v>
      </c>
      <c r="C265" s="2">
        <v>46356</v>
      </c>
      <c r="D265" s="1" t="s">
        <v>2667</v>
      </c>
      <c r="E265" s="1" t="s">
        <v>2668</v>
      </c>
      <c r="F265" s="4" t="s">
        <v>2308</v>
      </c>
      <c r="G265" s="4" t="s">
        <v>771</v>
      </c>
      <c r="H265" s="4" t="s">
        <v>2234</v>
      </c>
      <c r="I265" s="4" t="s">
        <v>2327</v>
      </c>
      <c r="J265" t="s">
        <v>2847</v>
      </c>
      <c r="K265" s="1" t="s">
        <v>2237</v>
      </c>
      <c r="L265" s="1" t="s">
        <v>2238</v>
      </c>
      <c r="M265" s="1" t="s">
        <v>771</v>
      </c>
      <c r="N265" s="9">
        <v>46210</v>
      </c>
      <c r="O265" s="9">
        <v>45974</v>
      </c>
      <c r="P265" s="9">
        <v>45803</v>
      </c>
      <c r="Q265" s="9">
        <v>45633</v>
      </c>
      <c r="R265" s="10" t="str">
        <f>HYPERLINK(_xlfn.CONCAT("https://mhmpl.sangamcrm.com/tickets/",Ticket3[[#This Row],[Id]]))</f>
        <v>https://mhmpl.sangamcrm.com/tickets/1903ce76-9c30-4eb3-830f-35c2b01378b6</v>
      </c>
      <c r="S265" s="9" t="str">
        <f>_xlfn.CONCAT(Ticket3[[#This Row],[Account Name]]," ",Ticket3[[#This Row],[City]]," ",Ticket3[[#This Row],[Product Name]]," ",Ticket3[[#This Row],[Ticket Type]]," ")</f>
        <v xml:space="preserve">AARYA EYE CARE THRISSUR PTS 2000 PMS </v>
      </c>
    </row>
    <row r="266" spans="1:19" x14ac:dyDescent="0.25">
      <c r="A266" s="3">
        <v>44873</v>
      </c>
      <c r="B266" s="4" t="s">
        <v>2230</v>
      </c>
      <c r="C266" s="2">
        <v>46356</v>
      </c>
      <c r="D266" s="1" t="s">
        <v>2667</v>
      </c>
      <c r="E266" s="1" t="s">
        <v>2668</v>
      </c>
      <c r="F266" s="4" t="s">
        <v>2233</v>
      </c>
      <c r="G266" s="4" t="s">
        <v>776</v>
      </c>
      <c r="H266" s="4" t="s">
        <v>2234</v>
      </c>
      <c r="I266" s="4" t="s">
        <v>2327</v>
      </c>
      <c r="J266" t="s">
        <v>2848</v>
      </c>
      <c r="K266" s="1" t="s">
        <v>2237</v>
      </c>
      <c r="L266" s="1" t="s">
        <v>2238</v>
      </c>
      <c r="M266" s="1" t="s">
        <v>776</v>
      </c>
      <c r="N266" s="9">
        <v>46183</v>
      </c>
      <c r="O266" s="9">
        <v>46007</v>
      </c>
      <c r="P266" s="9">
        <v>45780</v>
      </c>
      <c r="Q266" s="9">
        <v>45615</v>
      </c>
      <c r="R266" s="10" t="str">
        <f>HYPERLINK(_xlfn.CONCAT("https://mhmpl.sangamcrm.com/tickets/",Ticket3[[#This Row],[Id]]))</f>
        <v>https://mhmpl.sangamcrm.com/tickets/ca368eb3-a7d3-4054-a979-19aa6484ad17</v>
      </c>
      <c r="S266" s="9" t="str">
        <f>_xlfn.CONCAT(Ticket3[[#This Row],[Account Name]]," ",Ticket3[[#This Row],[City]]," ",Ticket3[[#This Row],[Product Name]]," ",Ticket3[[#This Row],[Ticket Type]]," ")</f>
        <v xml:space="preserve">AARYA EYE CARE THRISSUR REVO 60 PMS </v>
      </c>
    </row>
    <row r="267" spans="1:19" x14ac:dyDescent="0.25">
      <c r="A267" s="3">
        <v>44875</v>
      </c>
      <c r="B267" s="4" t="s">
        <v>2230</v>
      </c>
      <c r="C267" s="2">
        <v>46356</v>
      </c>
      <c r="D267" s="1" t="s">
        <v>2667</v>
      </c>
      <c r="E267" s="1" t="s">
        <v>2668</v>
      </c>
      <c r="F267" s="4" t="s">
        <v>2284</v>
      </c>
      <c r="G267" s="4" t="s">
        <v>1015</v>
      </c>
      <c r="H267" s="4" t="s">
        <v>2234</v>
      </c>
      <c r="I267" s="4" t="s">
        <v>2327</v>
      </c>
      <c r="J267" t="s">
        <v>2874</v>
      </c>
      <c r="K267" s="1" t="s">
        <v>2237</v>
      </c>
      <c r="L267" s="1" t="s">
        <v>2238</v>
      </c>
      <c r="M267" s="1" t="s">
        <v>1015</v>
      </c>
      <c r="N267" s="9">
        <v>46178</v>
      </c>
      <c r="O267" s="9">
        <v>45960</v>
      </c>
      <c r="P267" s="9">
        <v>45804</v>
      </c>
      <c r="Q267" s="9">
        <v>45573</v>
      </c>
      <c r="R267" s="10" t="str">
        <f>HYPERLINK(_xlfn.CONCAT("https://mhmpl.sangamcrm.com/tickets/",Ticket3[[#This Row],[Id]]))</f>
        <v>https://mhmpl.sangamcrm.com/tickets/139f9108-0f51-43ef-a193-765323663eb2</v>
      </c>
      <c r="S267" s="9" t="str">
        <f>_xlfn.CONCAT(Ticket3[[#This Row],[Account Name]]," ",Ticket3[[#This Row],[City]]," ",Ticket3[[#This Row],[Product Name]]," ",Ticket3[[#This Row],[Ticket Type]]," ")</f>
        <v xml:space="preserve">AARYA EYE CARE THRISSUR OA-2000 PMS </v>
      </c>
    </row>
    <row r="268" spans="1:19" x14ac:dyDescent="0.25">
      <c r="A268" s="3">
        <v>56665</v>
      </c>
      <c r="B268" s="4" t="s">
        <v>2258</v>
      </c>
      <c r="C268" s="2">
        <v>46317</v>
      </c>
      <c r="D268" s="1" t="s">
        <v>2667</v>
      </c>
      <c r="E268" s="1" t="s">
        <v>2668</v>
      </c>
      <c r="F268" s="4" t="s">
        <v>2286</v>
      </c>
      <c r="G268" s="4" t="s">
        <v>1249</v>
      </c>
      <c r="H268" s="4" t="s">
        <v>2249</v>
      </c>
      <c r="I268" s="4" t="s">
        <v>2235</v>
      </c>
      <c r="J268" t="s">
        <v>2669</v>
      </c>
      <c r="K268" s="1" t="s">
        <v>2237</v>
      </c>
      <c r="L268" s="1" t="s">
        <v>2251</v>
      </c>
      <c r="M268" s="1" t="s">
        <v>1249</v>
      </c>
      <c r="N268" s="9">
        <v>46210</v>
      </c>
      <c r="O268" s="9">
        <v>46007</v>
      </c>
      <c r="P268" s="9">
        <v>45803</v>
      </c>
      <c r="Q268" s="9">
        <v>45633</v>
      </c>
      <c r="R268" s="10" t="str">
        <f>HYPERLINK(_xlfn.CONCAT("https://mhmpl.sangamcrm.com/tickets/",Ticket3[[#This Row],[Id]]))</f>
        <v>https://mhmpl.sangamcrm.com/tickets/461ebb71-ae4b-47b0-a8a5-34ebce15bb17</v>
      </c>
      <c r="S268" s="9" t="str">
        <f>_xlfn.CONCAT(Ticket3[[#This Row],[Account Name]]," ",Ticket3[[#This Row],[City]]," ",Ticket3[[#This Row],[Product Name]]," ",Ticket3[[#This Row],[Ticket Type]]," ")</f>
        <v xml:space="preserve">AARYA EYE CARE THRISSUR REVO FC Service </v>
      </c>
    </row>
    <row r="269" spans="1:19" x14ac:dyDescent="0.25">
      <c r="A269" s="3">
        <v>52334</v>
      </c>
      <c r="B269" s="4" t="s">
        <v>2230</v>
      </c>
      <c r="C269" s="2">
        <v>46356</v>
      </c>
      <c r="D269" s="1" t="s">
        <v>2970</v>
      </c>
      <c r="E269" s="1" t="s">
        <v>2668</v>
      </c>
      <c r="F269" s="4" t="s">
        <v>2303</v>
      </c>
      <c r="G269" s="4" t="s">
        <v>2013</v>
      </c>
      <c r="H269" s="4" t="s">
        <v>2234</v>
      </c>
      <c r="I269" s="4" t="s">
        <v>2237</v>
      </c>
      <c r="J269" t="s">
        <v>2971</v>
      </c>
      <c r="K269" s="1" t="s">
        <v>2237</v>
      </c>
      <c r="L269" s="1" t="s">
        <v>2238</v>
      </c>
      <c r="M269" s="1" t="s">
        <v>2013</v>
      </c>
      <c r="N269" s="9">
        <v>46160</v>
      </c>
      <c r="O269" s="9">
        <v>45982</v>
      </c>
      <c r="P269" s="9">
        <v>45793</v>
      </c>
      <c r="Q269" s="9">
        <v>45623</v>
      </c>
      <c r="R269" s="10" t="str">
        <f>HYPERLINK(_xlfn.CONCAT("https://mhmpl.sangamcrm.com/tickets/",Ticket3[[#This Row],[Id]]))</f>
        <v>https://mhmpl.sangamcrm.com/tickets/4f80beae-5178-47a2-aa4a-1026d96578ec</v>
      </c>
      <c r="S269" s="9" t="str">
        <f>_xlfn.CONCAT(Ticket3[[#This Row],[Account Name]]," ",Ticket3[[#This Row],[City]]," ",Ticket3[[#This Row],[Product Name]]," ",Ticket3[[#This Row],[Ticket Type]]," ")</f>
        <v xml:space="preserve">DR. RANI MENON EYE CLINIC (A unit of Maxivision Group) THRISSUR EX500 PMS </v>
      </c>
    </row>
    <row r="270" spans="1:19" x14ac:dyDescent="0.25">
      <c r="A270" s="3">
        <v>46598</v>
      </c>
      <c r="B270" s="4" t="s">
        <v>2230</v>
      </c>
      <c r="C270" s="2">
        <v>46312</v>
      </c>
      <c r="D270" s="1" t="s">
        <v>2290</v>
      </c>
      <c r="E270" s="1" t="s">
        <v>2585</v>
      </c>
      <c r="F270" s="4" t="s">
        <v>2286</v>
      </c>
      <c r="G270" s="4" t="s">
        <v>1255</v>
      </c>
      <c r="H270" s="4" t="s">
        <v>2670</v>
      </c>
      <c r="I270" s="4" t="s">
        <v>2257</v>
      </c>
      <c r="J270" t="s">
        <v>2587</v>
      </c>
      <c r="K270" s="1" t="s">
        <v>2257</v>
      </c>
      <c r="L270" s="1" t="s">
        <v>2251</v>
      </c>
      <c r="M270" s="1" t="s">
        <v>1255</v>
      </c>
      <c r="N270" s="9">
        <v>46163</v>
      </c>
      <c r="O270" s="9">
        <v>45847</v>
      </c>
      <c r="P270" s="9">
        <v>45665</v>
      </c>
      <c r="Q270" s="9">
        <v>45631</v>
      </c>
      <c r="R270" s="10" t="str">
        <f>HYPERLINK(_xlfn.CONCAT("https://mhmpl.sangamcrm.com/tickets/",Ticket3[[#This Row],[Id]]))</f>
        <v>https://mhmpl.sangamcrm.com/tickets/67bda074-a43c-4ec2-9a80-ee50b7e510ac</v>
      </c>
      <c r="S270" s="9" t="str">
        <f>_xlfn.CONCAT(Ticket3[[#This Row],[Account Name]]," ",Ticket3[[#This Row],[City]]," ",Ticket3[[#This Row],[Product Name]]," ",Ticket3[[#This Row],[Ticket Type]]," ")</f>
        <v xml:space="preserve">THE EYE FOUNDATION TIRUNELVELI REVO FC PMS,Upgrade </v>
      </c>
    </row>
    <row r="271" spans="1:19" x14ac:dyDescent="0.25">
      <c r="A271" s="3">
        <v>47402</v>
      </c>
      <c r="B271" s="4" t="s">
        <v>2230</v>
      </c>
      <c r="C271" s="2">
        <v>46312</v>
      </c>
      <c r="D271" s="1" t="s">
        <v>2290</v>
      </c>
      <c r="E271" s="1" t="s">
        <v>2585</v>
      </c>
      <c r="F271" s="4" t="s">
        <v>2288</v>
      </c>
      <c r="G271" s="4" t="s">
        <v>1254</v>
      </c>
      <c r="H271" s="4" t="s">
        <v>2234</v>
      </c>
      <c r="I271" s="4" t="s">
        <v>2257</v>
      </c>
      <c r="J271" t="s">
        <v>2586</v>
      </c>
      <c r="K271" s="1" t="s">
        <v>2257</v>
      </c>
      <c r="L271" s="1" t="s">
        <v>2251</v>
      </c>
      <c r="M271" s="1" t="s">
        <v>1254</v>
      </c>
      <c r="N271" s="9">
        <v>46163</v>
      </c>
      <c r="O271" s="9">
        <v>45847</v>
      </c>
      <c r="P271" s="9">
        <v>45631</v>
      </c>
      <c r="Q271" s="9">
        <v>45527</v>
      </c>
      <c r="R271" s="10" t="str">
        <f>HYPERLINK(_xlfn.CONCAT("https://mhmpl.sangamcrm.com/tickets/",Ticket3[[#This Row],[Id]]))</f>
        <v>https://mhmpl.sangamcrm.com/tickets/72a26857-2a40-4419-8a46-0616c7240b89</v>
      </c>
      <c r="S271" s="9" t="str">
        <f>_xlfn.CONCAT(Ticket3[[#This Row],[Account Name]]," ",Ticket3[[#This Row],[City]]," ",Ticket3[[#This Row],[Product Name]]," ",Ticket3[[#This Row],[Ticket Type]]," ")</f>
        <v xml:space="preserve">THE EYE FOUNDATION TIRUNELVELI HS-2522BL PMS </v>
      </c>
    </row>
    <row r="272" spans="1:19" x14ac:dyDescent="0.25">
      <c r="A272" s="3">
        <v>31901</v>
      </c>
      <c r="B272" s="4" t="s">
        <v>2230</v>
      </c>
      <c r="C272" s="2">
        <v>46356</v>
      </c>
      <c r="D272" s="1" t="s">
        <v>2844</v>
      </c>
      <c r="E272" s="1" t="s">
        <v>2588</v>
      </c>
      <c r="F272" s="4" t="s">
        <v>2284</v>
      </c>
      <c r="G272" s="4" t="s">
        <v>767</v>
      </c>
      <c r="H272" s="4" t="s">
        <v>2234</v>
      </c>
      <c r="I272" s="4" t="s">
        <v>2244</v>
      </c>
      <c r="J272" t="s">
        <v>2845</v>
      </c>
      <c r="K272" s="1" t="s">
        <v>2244</v>
      </c>
      <c r="L272" s="1" t="s">
        <v>2238</v>
      </c>
      <c r="M272" s="1" t="s">
        <v>767</v>
      </c>
      <c r="N272" s="9">
        <v>46205</v>
      </c>
      <c r="O272" s="9">
        <v>45939</v>
      </c>
      <c r="P272" s="9">
        <v>45824</v>
      </c>
      <c r="Q272" s="9">
        <v>45661</v>
      </c>
      <c r="R272" s="10" t="str">
        <f>HYPERLINK(_xlfn.CONCAT("https://mhmpl.sangamcrm.com/tickets/",Ticket3[[#This Row],[Id]]))</f>
        <v>https://mhmpl.sangamcrm.com/tickets/eb9c0bed-e067-4126-8d81-672cccdceda7</v>
      </c>
      <c r="S272" s="9" t="str">
        <f>_xlfn.CONCAT(Ticket3[[#This Row],[Account Name]]," ",Ticket3[[#This Row],[City]]," ",Ticket3[[#This Row],[Product Name]]," ",Ticket3[[#This Row],[Ticket Type]]," ")</f>
        <v xml:space="preserve">NAVYA NETRALAYA TIRUPATI OA-2000 PMS </v>
      </c>
    </row>
    <row r="273" spans="1:19" x14ac:dyDescent="0.25">
      <c r="A273" s="3">
        <v>57081</v>
      </c>
      <c r="B273" s="4" t="s">
        <v>2258</v>
      </c>
      <c r="C273" s="2">
        <v>46325</v>
      </c>
      <c r="D273" s="1" t="s">
        <v>2704</v>
      </c>
      <c r="E273" s="1" t="s">
        <v>2588</v>
      </c>
      <c r="F273" s="4" t="s">
        <v>2303</v>
      </c>
      <c r="G273" s="4" t="s">
        <v>1523</v>
      </c>
      <c r="H273" s="4" t="s">
        <v>2923</v>
      </c>
      <c r="I273" s="4" t="s">
        <v>2244</v>
      </c>
      <c r="J273" t="s">
        <v>2924</v>
      </c>
      <c r="K273" s="1" t="s">
        <v>2244</v>
      </c>
      <c r="L273" s="1" t="s">
        <v>2251</v>
      </c>
      <c r="M273" s="1" t="s">
        <v>1523</v>
      </c>
      <c r="N273" s="9">
        <v>46324</v>
      </c>
      <c r="O273" s="9">
        <v>46169</v>
      </c>
      <c r="P273" s="9">
        <v>45834</v>
      </c>
      <c r="Q273" s="9">
        <v>45661</v>
      </c>
      <c r="R273" s="10" t="str">
        <f>HYPERLINK(_xlfn.CONCAT("https://mhmpl.sangamcrm.com/tickets/",Ticket3[[#This Row],[Id]]))</f>
        <v>https://mhmpl.sangamcrm.com/tickets/e67ee722-f563-4303-a7b6-0bf8ed0c0966</v>
      </c>
      <c r="S273" s="9" t="str">
        <f>_xlfn.CONCAT(Ticket3[[#This Row],[Account Name]]," ",Ticket3[[#This Row],[City]]," ",Ticket3[[#This Row],[Product Name]]," ",Ticket3[[#This Row],[Ticket Type]]," ")</f>
        <v xml:space="preserve">SV.ARAVIND EYE HOSPITAL TIRUPATI EX500 Surgery support </v>
      </c>
    </row>
    <row r="274" spans="1:19" x14ac:dyDescent="0.25">
      <c r="A274" s="3">
        <v>52261</v>
      </c>
      <c r="B274" s="4" t="s">
        <v>2364</v>
      </c>
      <c r="C274" s="2">
        <v>46326</v>
      </c>
      <c r="D274" s="1" t="s">
        <v>2290</v>
      </c>
      <c r="E274" s="1" t="s">
        <v>2589</v>
      </c>
      <c r="F274" s="4" t="s">
        <v>2303</v>
      </c>
      <c r="G274" s="4" t="s">
        <v>1788</v>
      </c>
      <c r="H274" s="4" t="s">
        <v>2234</v>
      </c>
      <c r="I274" s="4" t="s">
        <v>2257</v>
      </c>
      <c r="J274" t="s">
        <v>2673</v>
      </c>
      <c r="K274" s="1" t="s">
        <v>2257</v>
      </c>
      <c r="L274" s="1" t="s">
        <v>2283</v>
      </c>
      <c r="M274" s="1" t="s">
        <v>1788</v>
      </c>
      <c r="N274" s="9">
        <v>46156</v>
      </c>
      <c r="O274" s="9">
        <v>46134</v>
      </c>
      <c r="P274" s="9">
        <v>45964</v>
      </c>
      <c r="Q274" s="9">
        <v>45818</v>
      </c>
      <c r="R274" s="10" t="str">
        <f>HYPERLINK(_xlfn.CONCAT("https://mhmpl.sangamcrm.com/tickets/",Ticket3[[#This Row],[Id]]))</f>
        <v>https://mhmpl.sangamcrm.com/tickets/60310609-055f-4bdb-8288-4a748c92dc93</v>
      </c>
      <c r="S274" s="9" t="str">
        <f>_xlfn.CONCAT(Ticket3[[#This Row],[Account Name]]," ",Ticket3[[#This Row],[City]]," ",Ticket3[[#This Row],[Product Name]]," ",Ticket3[[#This Row],[Ticket Type]]," ")</f>
        <v xml:space="preserve">THE EYE FOUNDATION TIRUPPUR EX500 PMS </v>
      </c>
    </row>
    <row r="275" spans="1:19" x14ac:dyDescent="0.25">
      <c r="A275" s="3">
        <v>47301</v>
      </c>
      <c r="B275" s="4" t="s">
        <v>2358</v>
      </c>
      <c r="C275" s="2">
        <v>46265</v>
      </c>
      <c r="D275" s="1" t="s">
        <v>2590</v>
      </c>
      <c r="E275" s="1" t="s">
        <v>2591</v>
      </c>
      <c r="F275" s="4" t="s">
        <v>2308</v>
      </c>
      <c r="G275" s="4" t="s">
        <v>443</v>
      </c>
      <c r="H275" s="4" t="s">
        <v>2592</v>
      </c>
      <c r="I275" s="4" t="s">
        <v>2331</v>
      </c>
      <c r="J275" t="s">
        <v>2593</v>
      </c>
      <c r="K275" s="1" t="s">
        <v>2332</v>
      </c>
      <c r="L275" s="1" t="s">
        <v>2251</v>
      </c>
      <c r="M275" s="1" t="s">
        <v>443</v>
      </c>
      <c r="N275" s="9">
        <v>46065</v>
      </c>
      <c r="O275" s="9">
        <v>45918</v>
      </c>
      <c r="P275" s="9"/>
      <c r="Q275" s="9"/>
      <c r="R275" s="10" t="str">
        <f>HYPERLINK(_xlfn.CONCAT("https://mhmpl.sangamcrm.com/tickets/",Ticket3[[#This Row],[Id]]))</f>
        <v>https://mhmpl.sangamcrm.com/tickets/90237cdb-20bf-44fe-a073-3a74f4d12dc6</v>
      </c>
      <c r="S275" s="9" t="str">
        <f>_xlfn.CONCAT(Ticket3[[#This Row],[Account Name]]," ",Ticket3[[#This Row],[City]]," ",Ticket3[[#This Row],[Product Name]]," ",Ticket3[[#This Row],[Ticket Type]]," ")</f>
        <v xml:space="preserve">Vels Medical College and Hospital Tiruvallur PTS 2000 PMS,Service </v>
      </c>
    </row>
    <row r="276" spans="1:19" x14ac:dyDescent="0.25">
      <c r="A276" s="3">
        <v>55114</v>
      </c>
      <c r="B276" s="4" t="s">
        <v>2261</v>
      </c>
      <c r="C276" s="2">
        <v>46284</v>
      </c>
      <c r="D276" s="1" t="s">
        <v>2595</v>
      </c>
      <c r="E276" s="1" t="s">
        <v>2594</v>
      </c>
      <c r="F276" s="4" t="s">
        <v>2286</v>
      </c>
      <c r="G276" s="4" t="s">
        <v>1313</v>
      </c>
      <c r="H276" s="4" t="s">
        <v>2249</v>
      </c>
      <c r="I276" s="4" t="s">
        <v>2386</v>
      </c>
      <c r="J276" t="s">
        <v>2596</v>
      </c>
      <c r="K276" s="1" t="s">
        <v>2257</v>
      </c>
      <c r="L276" s="1" t="s">
        <v>2251</v>
      </c>
      <c r="M276" s="1" t="s">
        <v>1313</v>
      </c>
      <c r="N276" s="9">
        <v>46272</v>
      </c>
      <c r="O276" s="9">
        <v>46155</v>
      </c>
      <c r="P276" s="9">
        <v>46142</v>
      </c>
      <c r="Q276" s="9">
        <v>45939</v>
      </c>
      <c r="R276" s="10" t="str">
        <f>HYPERLINK(_xlfn.CONCAT("https://mhmpl.sangamcrm.com/tickets/",Ticket3[[#This Row],[Id]]))</f>
        <v>https://mhmpl.sangamcrm.com/tickets/d535b3f3-2c54-4166-b017-bbc7606bace5</v>
      </c>
      <c r="S276" s="9" t="str">
        <f>_xlfn.CONCAT(Ticket3[[#This Row],[Account Name]]," ",Ticket3[[#This Row],[City]]," ",Ticket3[[#This Row],[Product Name]]," ",Ticket3[[#This Row],[Ticket Type]]," ")</f>
        <v xml:space="preserve">The eye foundation Trichy REVO FC Service </v>
      </c>
    </row>
    <row r="277" spans="1:19" x14ac:dyDescent="0.25">
      <c r="A277" s="3">
        <v>52336</v>
      </c>
      <c r="B277" s="4" t="s">
        <v>2230</v>
      </c>
      <c r="C277" s="2">
        <v>46294</v>
      </c>
      <c r="D277" s="1" t="s">
        <v>2597</v>
      </c>
      <c r="E277" s="1" t="s">
        <v>2598</v>
      </c>
      <c r="F277" s="4" t="s">
        <v>2303</v>
      </c>
      <c r="G277" s="4" t="s">
        <v>1383</v>
      </c>
      <c r="H277" s="4" t="s">
        <v>2592</v>
      </c>
      <c r="I277" s="4" t="s">
        <v>2257</v>
      </c>
      <c r="J277" t="s">
        <v>2599</v>
      </c>
      <c r="K277" s="1" t="s">
        <v>2257</v>
      </c>
      <c r="L277" s="1" t="s">
        <v>2251</v>
      </c>
      <c r="M277" s="1" t="s">
        <v>1383</v>
      </c>
      <c r="N277" s="9">
        <v>46100</v>
      </c>
      <c r="O277" s="9">
        <v>45918</v>
      </c>
      <c r="P277" s="9">
        <v>45793</v>
      </c>
      <c r="Q277" s="9">
        <v>45589</v>
      </c>
      <c r="R277" s="10" t="str">
        <f>HYPERLINK(_xlfn.CONCAT("https://mhmpl.sangamcrm.com/tickets/",Ticket3[[#This Row],[Id]]))</f>
        <v>https://mhmpl.sangamcrm.com/tickets/486495bd-deb1-4c3a-9c0f-a9a96fd68f9c</v>
      </c>
      <c r="S277" s="9" t="str">
        <f>_xlfn.CONCAT(Ticket3[[#This Row],[Account Name]]," ",Ticket3[[#This Row],[City]]," ",Ticket3[[#This Row],[Product Name]]," ",Ticket3[[#This Row],[Ticket Type]]," ")</f>
        <v xml:space="preserve">AGARWAL EYE HOSPITAL,TRICHY TRICHY EX500 PMS,Service </v>
      </c>
    </row>
    <row r="278" spans="1:19" x14ac:dyDescent="0.25">
      <c r="A278" s="3">
        <v>38949</v>
      </c>
      <c r="B278" s="4" t="s">
        <v>2293</v>
      </c>
      <c r="C278" s="2">
        <v>45881</v>
      </c>
      <c r="D278" s="1" t="s">
        <v>2600</v>
      </c>
      <c r="E278" s="1" t="s">
        <v>2598</v>
      </c>
      <c r="F278" s="4" t="s">
        <v>2506</v>
      </c>
      <c r="G278" s="4" t="s">
        <v>2129</v>
      </c>
      <c r="H278" s="4" t="s">
        <v>2249</v>
      </c>
      <c r="I278" s="4" t="s">
        <v>2257</v>
      </c>
      <c r="J278" t="s">
        <v>2601</v>
      </c>
      <c r="K278" s="1" t="s">
        <v>2257</v>
      </c>
      <c r="L278" s="1" t="s">
        <v>2251</v>
      </c>
      <c r="M278" s="1" t="s">
        <v>2129</v>
      </c>
      <c r="N278" s="9">
        <v>46260</v>
      </c>
      <c r="O278" s="9">
        <v>46106</v>
      </c>
      <c r="P278" s="9">
        <v>46059</v>
      </c>
      <c r="Q278" s="9">
        <v>45898</v>
      </c>
      <c r="R278" s="10" t="str">
        <f>HYPERLINK(_xlfn.CONCAT("https://mhmpl.sangamcrm.com/tickets/",Ticket3[[#This Row],[Id]]))</f>
        <v>https://mhmpl.sangamcrm.com/tickets/1e1c1d4b-f922-4ab6-bc01-9b6a391c5cfa</v>
      </c>
      <c r="S278" s="9" t="str">
        <f>_xlfn.CONCAT(Ticket3[[#This Row],[Account Name]]," ",Ticket3[[#This Row],[City]]," ",Ticket3[[#This Row],[Product Name]]," ",Ticket3[[#This Row],[Ticket Type]]," ")</f>
        <v xml:space="preserve">JOSEPH EYE HOSPITAL TRICHY EVOLUTION 3 Service </v>
      </c>
    </row>
    <row r="279" spans="1:19" x14ac:dyDescent="0.25">
      <c r="A279" s="3">
        <v>50078</v>
      </c>
      <c r="B279" s="4" t="s">
        <v>2230</v>
      </c>
      <c r="C279" s="2">
        <v>46326</v>
      </c>
      <c r="D279" s="1" t="s">
        <v>2576</v>
      </c>
      <c r="E279" s="1" t="s">
        <v>2602</v>
      </c>
      <c r="F279" s="4" t="s">
        <v>2308</v>
      </c>
      <c r="G279" s="4" t="s">
        <v>1116</v>
      </c>
      <c r="H279" s="4" t="s">
        <v>2234</v>
      </c>
      <c r="I279" s="4" t="s">
        <v>2235</v>
      </c>
      <c r="J279" t="s">
        <v>2603</v>
      </c>
      <c r="K279" s="1" t="s">
        <v>2237</v>
      </c>
      <c r="L279" s="1" t="s">
        <v>2283</v>
      </c>
      <c r="M279" s="1" t="s">
        <v>1116</v>
      </c>
      <c r="N279" s="9">
        <v>46150</v>
      </c>
      <c r="O279" s="9">
        <v>45912</v>
      </c>
      <c r="P279" s="9">
        <v>45588</v>
      </c>
      <c r="Q279" s="9">
        <v>45454</v>
      </c>
      <c r="R279" s="10" t="str">
        <f>HYPERLINK(_xlfn.CONCAT("https://mhmpl.sangamcrm.com/tickets/",Ticket3[[#This Row],[Id]]))</f>
        <v>https://mhmpl.sangamcrm.com/tickets/329b51d0-bf3d-4104-a35e-ba173ae99d4e</v>
      </c>
      <c r="S279" s="9" t="str">
        <f>_xlfn.CONCAT(Ticket3[[#This Row],[Account Name]]," ",Ticket3[[#This Row],[City]]," ",Ticket3[[#This Row],[Product Name]]," ",Ticket3[[#This Row],[Ticket Type]]," ")</f>
        <v xml:space="preserve">CHAITHANYA EYE HOSPITAL &amp; RESEARCH CENTRE TRIPUNITHURA PTS 2000 PMS </v>
      </c>
    </row>
    <row r="280" spans="1:19" x14ac:dyDescent="0.25">
      <c r="A280" s="3">
        <v>51823</v>
      </c>
      <c r="B280" s="4" t="s">
        <v>2230</v>
      </c>
      <c r="C280" s="2">
        <v>46356</v>
      </c>
      <c r="D280" s="1" t="s">
        <v>2725</v>
      </c>
      <c r="E280" s="1" t="s">
        <v>2604</v>
      </c>
      <c r="F280" s="4" t="s">
        <v>2321</v>
      </c>
      <c r="G280" s="4" t="s">
        <v>60</v>
      </c>
      <c r="H280" s="4" t="s">
        <v>2234</v>
      </c>
      <c r="I280" s="4" t="s">
        <v>2327</v>
      </c>
      <c r="J280" t="s">
        <v>2726</v>
      </c>
      <c r="K280" s="1" t="s">
        <v>2237</v>
      </c>
      <c r="L280" s="1" t="s">
        <v>2238</v>
      </c>
      <c r="M280" s="1" t="s">
        <v>60</v>
      </c>
      <c r="N280" s="9"/>
      <c r="O280" s="9"/>
      <c r="P280" s="9"/>
      <c r="Q280" s="9"/>
      <c r="R280" s="10" t="str">
        <f>HYPERLINK(_xlfn.CONCAT("https://mhmpl.sangamcrm.com/tickets/",Ticket3[[#This Row],[Id]]))</f>
        <v>https://mhmpl.sangamcrm.com/tickets/a37a9fb4-02c4-4f7b-854a-85199960bc26</v>
      </c>
      <c r="S280" s="9" t="str">
        <f>_xlfn.CONCAT(Ticket3[[#This Row],[Account Name]]," ",Ticket3[[#This Row],[City]]," ",Ticket3[[#This Row],[Product Name]]," ",Ticket3[[#This Row],[Ticket Type]]," ")</f>
        <v xml:space="preserve">DR AGARWALS EYE HOSPITALS-KAZHAKKOOTAM TRIVANDRUM Pachette 4 PMS </v>
      </c>
    </row>
    <row r="281" spans="1:19" x14ac:dyDescent="0.25">
      <c r="A281" s="3">
        <v>51821</v>
      </c>
      <c r="B281" s="4" t="s">
        <v>2230</v>
      </c>
      <c r="C281" s="2">
        <v>46356</v>
      </c>
      <c r="D281" s="1" t="s">
        <v>2725</v>
      </c>
      <c r="E281" s="1" t="s">
        <v>2604</v>
      </c>
      <c r="F281" s="4" t="s">
        <v>2241</v>
      </c>
      <c r="G281" s="4" t="s">
        <v>61</v>
      </c>
      <c r="H281" s="4" t="s">
        <v>2234</v>
      </c>
      <c r="I281" s="4" t="s">
        <v>2327</v>
      </c>
      <c r="J281" t="s">
        <v>2751</v>
      </c>
      <c r="K281" s="1" t="s">
        <v>2237</v>
      </c>
      <c r="L281" s="1" t="s">
        <v>2238</v>
      </c>
      <c r="M281" s="1" t="s">
        <v>61</v>
      </c>
      <c r="N281" s="9"/>
      <c r="O281" s="9"/>
      <c r="P281" s="9"/>
      <c r="Q281" s="9"/>
      <c r="R281" s="10" t="str">
        <f>HYPERLINK(_xlfn.CONCAT("https://mhmpl.sangamcrm.com/tickets/",Ticket3[[#This Row],[Id]]))</f>
        <v>https://mhmpl.sangamcrm.com/tickets/cf8cf98d-c2fc-461e-a4d2-89d3fb840093</v>
      </c>
      <c r="S281" s="9" t="str">
        <f>_xlfn.CONCAT(Ticket3[[#This Row],[Account Name]]," ",Ticket3[[#This Row],[City]]," ",Ticket3[[#This Row],[Product Name]]," ",Ticket3[[#This Row],[Ticket Type]]," ")</f>
        <v xml:space="preserve">DR AGARWALS EYE HOSPITALS-KAZHAKKOOTAM TRIVANDRUM TMS-4N PMS </v>
      </c>
    </row>
    <row r="282" spans="1:19" x14ac:dyDescent="0.25">
      <c r="A282" s="3">
        <v>51414</v>
      </c>
      <c r="B282" s="4" t="s">
        <v>2230</v>
      </c>
      <c r="C282" s="2">
        <v>46356</v>
      </c>
      <c r="D282" s="1" t="s">
        <v>2807</v>
      </c>
      <c r="E282" s="1" t="s">
        <v>2613</v>
      </c>
      <c r="F282" s="4" t="s">
        <v>2286</v>
      </c>
      <c r="G282" s="4" t="s">
        <v>375</v>
      </c>
      <c r="H282" s="4" t="s">
        <v>2234</v>
      </c>
      <c r="I282" s="4" t="s">
        <v>2235</v>
      </c>
      <c r="J282" t="s">
        <v>2808</v>
      </c>
      <c r="K282" s="1" t="s">
        <v>2237</v>
      </c>
      <c r="L282" s="1" t="s">
        <v>2238</v>
      </c>
      <c r="M282" s="1" t="s">
        <v>375</v>
      </c>
      <c r="N282" s="9">
        <v>46114</v>
      </c>
      <c r="O282" s="9">
        <v>45980</v>
      </c>
      <c r="P282" s="9"/>
      <c r="Q282" s="9"/>
      <c r="R282" s="10" t="str">
        <f>HYPERLINK(_xlfn.CONCAT("https://mhmpl.sangamcrm.com/tickets/",Ticket3[[#This Row],[Id]]))</f>
        <v>https://mhmpl.sangamcrm.com/tickets/14033b48-3f3d-494f-afed-ad5d1218effe</v>
      </c>
      <c r="S282" s="9" t="str">
        <f>_xlfn.CONCAT(Ticket3[[#This Row],[Account Name]]," ",Ticket3[[#This Row],[City]]," ",Ticket3[[#This Row],[Product Name]]," ",Ticket3[[#This Row],[Ticket Type]]," ")</f>
        <v xml:space="preserve">Divya Prabha Eye Hospital Trivandrum REVO FC PMS </v>
      </c>
    </row>
    <row r="283" spans="1:19" x14ac:dyDescent="0.25">
      <c r="A283" s="3">
        <v>48058</v>
      </c>
      <c r="B283" s="4" t="s">
        <v>2230</v>
      </c>
      <c r="C283" s="2">
        <v>46326</v>
      </c>
      <c r="D283" s="1" t="s">
        <v>2605</v>
      </c>
      <c r="E283" s="1" t="s">
        <v>2604</v>
      </c>
      <c r="F283" s="4" t="s">
        <v>2308</v>
      </c>
      <c r="G283" s="4" t="s">
        <v>423</v>
      </c>
      <c r="H283" s="4" t="s">
        <v>2234</v>
      </c>
      <c r="I283" s="4" t="s">
        <v>2235</v>
      </c>
      <c r="J283" t="s">
        <v>2607</v>
      </c>
      <c r="K283" s="1" t="s">
        <v>2237</v>
      </c>
      <c r="L283" s="1" t="s">
        <v>2283</v>
      </c>
      <c r="M283" s="1" t="s">
        <v>423</v>
      </c>
      <c r="N283" s="9">
        <v>46087</v>
      </c>
      <c r="O283" s="9">
        <v>45916</v>
      </c>
      <c r="P283" s="9"/>
      <c r="Q283" s="9"/>
      <c r="R283" s="10" t="str">
        <f>HYPERLINK(_xlfn.CONCAT("https://mhmpl.sangamcrm.com/tickets/",Ticket3[[#This Row],[Id]]))</f>
        <v>https://mhmpl.sangamcrm.com/tickets/79b489af-c705-4d45-908f-53da0f2c57dc</v>
      </c>
      <c r="S283" s="9" t="str">
        <f>_xlfn.CONCAT(Ticket3[[#This Row],[Account Name]]," ",Ticket3[[#This Row],[City]]," ",Ticket3[[#This Row],[Product Name]]," ",Ticket3[[#This Row],[Ticket Type]]," ")</f>
        <v xml:space="preserve">PRS HOSPITAL PRIVATE LIMITED TRIVANDRUM PTS 2000 PMS </v>
      </c>
    </row>
    <row r="284" spans="1:19" x14ac:dyDescent="0.25">
      <c r="A284" s="3">
        <v>48062</v>
      </c>
      <c r="B284" s="4" t="s">
        <v>2230</v>
      </c>
      <c r="C284" s="2">
        <v>46326</v>
      </c>
      <c r="D284" s="1" t="s">
        <v>2605</v>
      </c>
      <c r="E284" s="1" t="s">
        <v>2604</v>
      </c>
      <c r="F284" s="4" t="s">
        <v>2286</v>
      </c>
      <c r="G284" s="4" t="s">
        <v>422</v>
      </c>
      <c r="H284" s="4" t="s">
        <v>2234</v>
      </c>
      <c r="I284" s="4" t="s">
        <v>2235</v>
      </c>
      <c r="J284" t="s">
        <v>2606</v>
      </c>
      <c r="K284" s="1" t="s">
        <v>2237</v>
      </c>
      <c r="L284" s="1" t="s">
        <v>2283</v>
      </c>
      <c r="M284" s="1" t="s">
        <v>422</v>
      </c>
      <c r="N284" s="9">
        <v>46087</v>
      </c>
      <c r="O284" s="9">
        <v>45916</v>
      </c>
      <c r="P284" s="9"/>
      <c r="Q284" s="9"/>
      <c r="R284" s="10" t="str">
        <f>HYPERLINK(_xlfn.CONCAT("https://mhmpl.sangamcrm.com/tickets/",Ticket3[[#This Row],[Id]]))</f>
        <v>https://mhmpl.sangamcrm.com/tickets/51c9e87f-7846-4b63-ab88-81d711d4170f</v>
      </c>
      <c r="S284" s="9" t="str">
        <f>_xlfn.CONCAT(Ticket3[[#This Row],[Account Name]]," ",Ticket3[[#This Row],[City]]," ",Ticket3[[#This Row],[Product Name]]," ",Ticket3[[#This Row],[Ticket Type]]," ")</f>
        <v xml:space="preserve">PRS HOSPITAL PRIVATE LIMITED TRIVANDRUM REVO FC PMS </v>
      </c>
    </row>
    <row r="285" spans="1:19" x14ac:dyDescent="0.25">
      <c r="A285" s="3">
        <v>51175</v>
      </c>
      <c r="B285" s="4" t="s">
        <v>2230</v>
      </c>
      <c r="C285" s="2">
        <v>46356</v>
      </c>
      <c r="D285" s="1" t="s">
        <v>2829</v>
      </c>
      <c r="E285" s="1" t="s">
        <v>2613</v>
      </c>
      <c r="F285" s="4" t="s">
        <v>2233</v>
      </c>
      <c r="G285" s="4" t="s">
        <v>664</v>
      </c>
      <c r="H285" s="4" t="s">
        <v>2234</v>
      </c>
      <c r="I285" s="4" t="s">
        <v>2235</v>
      </c>
      <c r="J285" t="s">
        <v>2830</v>
      </c>
      <c r="K285" s="1" t="s">
        <v>2237</v>
      </c>
      <c r="L285" s="1" t="s">
        <v>2238</v>
      </c>
      <c r="M285" s="1" t="s">
        <v>664</v>
      </c>
      <c r="N285" s="9">
        <v>46148</v>
      </c>
      <c r="O285" s="9">
        <v>45946</v>
      </c>
      <c r="P285" s="9">
        <v>45812</v>
      </c>
      <c r="Q285" s="9">
        <v>45635</v>
      </c>
      <c r="R285" s="10" t="str">
        <f>HYPERLINK(_xlfn.CONCAT("https://mhmpl.sangamcrm.com/tickets/",Ticket3[[#This Row],[Id]]))</f>
        <v>https://mhmpl.sangamcrm.com/tickets/d74cdbc9-e24c-4993-b815-7fcd4ea2170a</v>
      </c>
      <c r="S285" s="9" t="str">
        <f>_xlfn.CONCAT(Ticket3[[#This Row],[Account Name]]," ",Ticket3[[#This Row],[City]]," ",Ticket3[[#This Row],[Product Name]]," ",Ticket3[[#This Row],[Ticket Type]]," ")</f>
        <v xml:space="preserve">DEVAPRASAD EYE HOSPITALS Trivandrum REVO 60 PMS </v>
      </c>
    </row>
    <row r="286" spans="1:19" x14ac:dyDescent="0.25">
      <c r="A286" s="3">
        <v>47867</v>
      </c>
      <c r="B286" s="4" t="s">
        <v>2230</v>
      </c>
      <c r="C286" s="2">
        <v>46326</v>
      </c>
      <c r="D286" s="1" t="s">
        <v>2608</v>
      </c>
      <c r="E286" s="1" t="s">
        <v>2604</v>
      </c>
      <c r="F286" s="4" t="s">
        <v>2308</v>
      </c>
      <c r="G286" s="4" t="s">
        <v>1161</v>
      </c>
      <c r="H286" s="4" t="s">
        <v>2234</v>
      </c>
      <c r="I286" s="4" t="s">
        <v>2235</v>
      </c>
      <c r="J286" t="s">
        <v>2609</v>
      </c>
      <c r="K286" s="1" t="s">
        <v>2237</v>
      </c>
      <c r="L286" s="1" t="s">
        <v>2283</v>
      </c>
      <c r="M286" s="1" t="s">
        <v>1161</v>
      </c>
      <c r="N286" s="9">
        <v>46114</v>
      </c>
      <c r="O286" s="9">
        <v>45918</v>
      </c>
      <c r="P286" s="9">
        <v>45700</v>
      </c>
      <c r="Q286" s="9">
        <v>45450</v>
      </c>
      <c r="R286" s="10" t="str">
        <f>HYPERLINK(_xlfn.CONCAT("https://mhmpl.sangamcrm.com/tickets/",Ticket3[[#This Row],[Id]]))</f>
        <v>https://mhmpl.sangamcrm.com/tickets/d2c04bc8-8281-4e4e-95de-809e70efb072</v>
      </c>
      <c r="S286" s="9" t="str">
        <f>_xlfn.CONCAT(Ticket3[[#This Row],[Account Name]]," ",Ticket3[[#This Row],[City]]," ",Ticket3[[#This Row],[Product Name]]," ",Ticket3[[#This Row],[Ticket Type]]," ")</f>
        <v xml:space="preserve">KIMSHEALTH HOSPITAL TRIVANDRUM PTS 2000 PMS </v>
      </c>
    </row>
    <row r="287" spans="1:19" x14ac:dyDescent="0.25">
      <c r="A287" s="3">
        <v>42489</v>
      </c>
      <c r="B287" s="4" t="s">
        <v>2230</v>
      </c>
      <c r="C287" s="2">
        <v>46326</v>
      </c>
      <c r="D287" s="1" t="s">
        <v>2610</v>
      </c>
      <c r="E287" s="1" t="s">
        <v>2604</v>
      </c>
      <c r="F287" s="4" t="s">
        <v>2611</v>
      </c>
      <c r="G287" s="4" t="s">
        <v>1326</v>
      </c>
      <c r="H287" s="4" t="s">
        <v>2234</v>
      </c>
      <c r="I287" s="4" t="s">
        <v>2235</v>
      </c>
      <c r="J287" t="s">
        <v>2612</v>
      </c>
      <c r="K287" s="1" t="s">
        <v>2237</v>
      </c>
      <c r="L287" s="1" t="s">
        <v>2283</v>
      </c>
      <c r="M287" s="1" t="s">
        <v>1326</v>
      </c>
      <c r="N287" s="9">
        <v>46181</v>
      </c>
      <c r="O287" s="9">
        <v>45985</v>
      </c>
      <c r="P287" s="9">
        <v>45780</v>
      </c>
      <c r="Q287" s="9">
        <v>45607</v>
      </c>
      <c r="R287" s="10" t="str">
        <f>HYPERLINK(_xlfn.CONCAT("https://mhmpl.sangamcrm.com/tickets/",Ticket3[[#This Row],[Id]]))</f>
        <v>https://mhmpl.sangamcrm.com/tickets/8f2543b9-cece-41e5-ac86-2e5e7701ff19</v>
      </c>
      <c r="S287" s="9" t="str">
        <f>_xlfn.CONCAT(Ticket3[[#This Row],[Account Name]]," ",Ticket3[[#This Row],[City]]," ",Ticket3[[#This Row],[Product Name]]," ",Ticket3[[#This Row],[Ticket Type]]," ")</f>
        <v xml:space="preserve">CHAITHANYA LASIK CENTRE TRIVANDRUM RC-800 PMS </v>
      </c>
    </row>
    <row r="288" spans="1:19" x14ac:dyDescent="0.25">
      <c r="A288" s="3">
        <v>50074</v>
      </c>
      <c r="B288" s="4" t="s">
        <v>2230</v>
      </c>
      <c r="C288" s="2">
        <v>46326</v>
      </c>
      <c r="D288" s="1" t="s">
        <v>2576</v>
      </c>
      <c r="E288" s="1" t="s">
        <v>2613</v>
      </c>
      <c r="F288" s="4" t="s">
        <v>2254</v>
      </c>
      <c r="G288" s="4" t="s">
        <v>1486</v>
      </c>
      <c r="H288" s="4" t="s">
        <v>2234</v>
      </c>
      <c r="I288" s="4" t="s">
        <v>2235</v>
      </c>
      <c r="J288" t="s">
        <v>2614</v>
      </c>
      <c r="K288" s="1" t="s">
        <v>2237</v>
      </c>
      <c r="L288" s="1" t="s">
        <v>2283</v>
      </c>
      <c r="M288" s="1" t="s">
        <v>1486</v>
      </c>
      <c r="N288" s="9">
        <v>45994</v>
      </c>
      <c r="O288" s="9">
        <v>45859</v>
      </c>
      <c r="P288" s="9">
        <v>45786</v>
      </c>
      <c r="Q288" s="9">
        <v>45611</v>
      </c>
      <c r="R288" s="10" t="str">
        <f>HYPERLINK(_xlfn.CONCAT("https://mhmpl.sangamcrm.com/tickets/",Ticket3[[#This Row],[Id]]))</f>
        <v>https://mhmpl.sangamcrm.com/tickets/fb1be8fb-e7e5-4f5a-9ce5-6e2145239632</v>
      </c>
      <c r="S288" s="9" t="str">
        <f>_xlfn.CONCAT(Ticket3[[#This Row],[Account Name]]," ",Ticket3[[#This Row],[City]]," ",Ticket3[[#This Row],[Product Name]]," ",Ticket3[[#This Row],[Ticket Type]]," ")</f>
        <v xml:space="preserve">CHAITHANYA EYE HOSPITAL &amp; RESEARCH CENTRE Trivandrum IDRA FULL PMS </v>
      </c>
    </row>
    <row r="289" spans="1:19" x14ac:dyDescent="0.25">
      <c r="A289" s="3">
        <v>42485</v>
      </c>
      <c r="B289" s="4" t="s">
        <v>2230</v>
      </c>
      <c r="C289" s="2">
        <v>46326</v>
      </c>
      <c r="D289" s="1" t="s">
        <v>2610</v>
      </c>
      <c r="E289" s="1" t="s">
        <v>2604</v>
      </c>
      <c r="F289" s="4" t="s">
        <v>2359</v>
      </c>
      <c r="G289" s="4" t="s">
        <v>1797</v>
      </c>
      <c r="H289" s="4" t="s">
        <v>2234</v>
      </c>
      <c r="I289" s="4" t="s">
        <v>2235</v>
      </c>
      <c r="J289" t="s">
        <v>2615</v>
      </c>
      <c r="K289" s="1" t="s">
        <v>2237</v>
      </c>
      <c r="L289" s="1" t="s">
        <v>2283</v>
      </c>
      <c r="M289" s="1" t="s">
        <v>1797</v>
      </c>
      <c r="N289" s="9">
        <v>46181</v>
      </c>
      <c r="O289" s="9">
        <v>45985</v>
      </c>
      <c r="P289" s="9">
        <v>45780</v>
      </c>
      <c r="Q289" s="9">
        <v>45607</v>
      </c>
      <c r="R289" s="10" t="str">
        <f>HYPERLINK(_xlfn.CONCAT("https://mhmpl.sangamcrm.com/tickets/",Ticket3[[#This Row],[Id]]))</f>
        <v>https://mhmpl.sangamcrm.com/tickets/9cbc3d4b-5b61-4372-aa23-0ed259b7f835</v>
      </c>
      <c r="S289" s="9" t="str">
        <f>_xlfn.CONCAT(Ticket3[[#This Row],[Account Name]]," ",Ticket3[[#This Row],[City]]," ",Ticket3[[#This Row],[Product Name]]," ",Ticket3[[#This Row],[Ticket Type]]," ")</f>
        <v xml:space="preserve">CHAITHANYA LASIK CENTRE TRIVANDRUM HS-1607SD PMS </v>
      </c>
    </row>
    <row r="290" spans="1:19" x14ac:dyDescent="0.25">
      <c r="A290" s="3">
        <v>48050</v>
      </c>
      <c r="B290" s="4" t="s">
        <v>2230</v>
      </c>
      <c r="C290" s="2">
        <v>46326</v>
      </c>
      <c r="D290" s="1" t="s">
        <v>2616</v>
      </c>
      <c r="E290" s="1" t="s">
        <v>2617</v>
      </c>
      <c r="F290" s="4" t="s">
        <v>2284</v>
      </c>
      <c r="G290" s="4" t="s">
        <v>117</v>
      </c>
      <c r="H290" s="4" t="s">
        <v>2234</v>
      </c>
      <c r="I290" s="4" t="s">
        <v>2281</v>
      </c>
      <c r="J290" t="s">
        <v>2618</v>
      </c>
      <c r="K290" s="1" t="s">
        <v>2266</v>
      </c>
      <c r="L290" s="1" t="s">
        <v>2283</v>
      </c>
      <c r="M290" s="1" t="s">
        <v>117</v>
      </c>
      <c r="N290" s="9"/>
      <c r="O290" s="9"/>
      <c r="P290" s="9"/>
      <c r="Q290" s="9"/>
      <c r="R290" s="10" t="str">
        <f>HYPERLINK(_xlfn.CONCAT("https://mhmpl.sangamcrm.com/tickets/",Ticket3[[#This Row],[Id]]))</f>
        <v>https://mhmpl.sangamcrm.com/tickets/86d91062-c10d-4351-934e-43d8cfbb2601</v>
      </c>
      <c r="S290" s="9" t="str">
        <f>_xlfn.CONCAT(Ticket3[[#This Row],[Account Name]]," ",Ticket3[[#This Row],[City]]," ",Ticket3[[#This Row],[Product Name]]," ",Ticket3[[#This Row],[Ticket Type]]," ")</f>
        <v xml:space="preserve">Mookambika Modi Eye Hospital Tumakuru OA-2000 PMS </v>
      </c>
    </row>
    <row r="291" spans="1:19" x14ac:dyDescent="0.25">
      <c r="A291" s="3">
        <v>44416</v>
      </c>
      <c r="B291" s="4" t="s">
        <v>2230</v>
      </c>
      <c r="C291" s="2">
        <v>46356</v>
      </c>
      <c r="D291" s="1" t="s">
        <v>2960</v>
      </c>
      <c r="E291" s="1" t="s">
        <v>2961</v>
      </c>
      <c r="F291" s="4" t="s">
        <v>2306</v>
      </c>
      <c r="G291" s="4" t="s">
        <v>1905</v>
      </c>
      <c r="H291" s="4" t="s">
        <v>2234</v>
      </c>
      <c r="I291" s="4" t="s">
        <v>2281</v>
      </c>
      <c r="J291" t="s">
        <v>2962</v>
      </c>
      <c r="K291" s="1" t="s">
        <v>2266</v>
      </c>
      <c r="L291" s="1" t="s">
        <v>2238</v>
      </c>
      <c r="M291" s="1" t="s">
        <v>1905</v>
      </c>
      <c r="N291" s="9">
        <v>46272</v>
      </c>
      <c r="O291" s="9">
        <v>46008</v>
      </c>
      <c r="P291" s="9">
        <v>45818</v>
      </c>
      <c r="Q291" s="9">
        <v>45562</v>
      </c>
      <c r="R291" s="10" t="str">
        <f>HYPERLINK(_xlfn.CONCAT("https://mhmpl.sangamcrm.com/tickets/",Ticket3[[#This Row],[Id]]))</f>
        <v>https://mhmpl.sangamcrm.com/tickets/fc2cefc9-51d5-48b4-90ae-e0e8c4c0c172</v>
      </c>
      <c r="S291" s="9" t="str">
        <f>_xlfn.CONCAT(Ticket3[[#This Row],[Account Name]]," ",Ticket3[[#This Row],[City]]," ",Ticket3[[#This Row],[Product Name]]," ",Ticket3[[#This Row],[Ticket Type]]," ")</f>
        <v xml:space="preserve">AKSHARA EYE FOUNDATION TUMAKURU HS-3041BD PMS </v>
      </c>
    </row>
    <row r="292" spans="1:19" x14ac:dyDescent="0.25">
      <c r="A292" s="3">
        <v>48130</v>
      </c>
      <c r="B292" s="4" t="s">
        <v>2230</v>
      </c>
      <c r="C292" s="2">
        <v>46356</v>
      </c>
      <c r="D292" s="1" t="s">
        <v>2943</v>
      </c>
      <c r="E292" s="1" t="s">
        <v>2619</v>
      </c>
      <c r="F292" s="4" t="s">
        <v>2288</v>
      </c>
      <c r="G292" s="4" t="s">
        <v>1697</v>
      </c>
      <c r="H292" s="4" t="s">
        <v>2234</v>
      </c>
      <c r="I292" s="4" t="s">
        <v>2281</v>
      </c>
      <c r="J292" t="s">
        <v>2944</v>
      </c>
      <c r="K292" s="1" t="s">
        <v>2266</v>
      </c>
      <c r="L292" s="1" t="s">
        <v>2238</v>
      </c>
      <c r="M292" s="1" t="s">
        <v>1697</v>
      </c>
      <c r="N292" s="9">
        <v>46291</v>
      </c>
      <c r="O292" s="9">
        <v>46050</v>
      </c>
      <c r="P292" s="9">
        <v>45940</v>
      </c>
      <c r="Q292" s="9">
        <v>45635</v>
      </c>
      <c r="R292" s="10" t="str">
        <f>HYPERLINK(_xlfn.CONCAT("https://mhmpl.sangamcrm.com/tickets/",Ticket3[[#This Row],[Id]]))</f>
        <v>https://mhmpl.sangamcrm.com/tickets/bf3a7cef-4367-42e5-ba61-32d26f562ad7</v>
      </c>
      <c r="S292" s="9" t="str">
        <f>_xlfn.CONCAT(Ticket3[[#This Row],[Account Name]]," ",Ticket3[[#This Row],[City]]," ",Ticket3[[#This Row],[Product Name]]," ",Ticket3[[#This Row],[Ticket Type]]," ")</f>
        <v xml:space="preserve">PARVATHI MAHABALA SHETTY CHARITABLE TRUST UDUPI HS-2522BL PMS </v>
      </c>
    </row>
    <row r="293" spans="1:19" x14ac:dyDescent="0.25">
      <c r="A293" s="3">
        <v>54019</v>
      </c>
      <c r="B293" s="4" t="s">
        <v>2230</v>
      </c>
      <c r="C293" s="2">
        <v>46356</v>
      </c>
      <c r="D293" s="1" t="s">
        <v>2867</v>
      </c>
      <c r="E293" s="1" t="s">
        <v>2621</v>
      </c>
      <c r="F293" s="4" t="s">
        <v>2554</v>
      </c>
      <c r="G293" s="4" t="s">
        <v>1001</v>
      </c>
      <c r="H293" s="4" t="s">
        <v>2234</v>
      </c>
      <c r="I293" s="4" t="s">
        <v>2337</v>
      </c>
      <c r="J293" t="s">
        <v>2868</v>
      </c>
      <c r="K293" s="1" t="s">
        <v>2332</v>
      </c>
      <c r="L293" s="1" t="s">
        <v>2238</v>
      </c>
      <c r="M293" s="1" t="s">
        <v>1001</v>
      </c>
      <c r="N293" s="9">
        <v>46241</v>
      </c>
      <c r="O293" s="9">
        <v>46081</v>
      </c>
      <c r="P293" s="9">
        <v>45927</v>
      </c>
      <c r="Q293" s="9">
        <v>45686</v>
      </c>
      <c r="R293" s="10" t="str">
        <f>HYPERLINK(_xlfn.CONCAT("https://mhmpl.sangamcrm.com/tickets/",Ticket3[[#This Row],[Id]]))</f>
        <v>https://mhmpl.sangamcrm.com/tickets/7c602781-8ca4-427d-9027-81ca929df825</v>
      </c>
      <c r="S293" s="9" t="str">
        <f>_xlfn.CONCAT(Ticket3[[#This Row],[Account Name]]," ",Ticket3[[#This Row],[City]]," ",Ticket3[[#This Row],[Product Name]]," ",Ticket3[[#This Row],[Ticket Type]]," ")</f>
        <v xml:space="preserve">SCHIEFFELIN INSTITUTE OF HEALTH-RESEARCH &amp;LEPROSY CENTRE Vellore HS-2522SD PMS </v>
      </c>
    </row>
    <row r="294" spans="1:19" x14ac:dyDescent="0.25">
      <c r="A294" s="3">
        <v>55941</v>
      </c>
      <c r="B294" s="4" t="s">
        <v>2293</v>
      </c>
      <c r="C294" s="2">
        <v>46306</v>
      </c>
      <c r="D294" s="1" t="s">
        <v>2620</v>
      </c>
      <c r="E294" s="1" t="s">
        <v>2621</v>
      </c>
      <c r="F294" s="4" t="s">
        <v>2275</v>
      </c>
      <c r="G294" s="4" t="s">
        <v>1199</v>
      </c>
      <c r="H294" s="4" t="s">
        <v>2249</v>
      </c>
      <c r="I294" s="4" t="s">
        <v>2337</v>
      </c>
      <c r="J294" t="s">
        <v>2622</v>
      </c>
      <c r="K294" s="1" t="s">
        <v>2332</v>
      </c>
      <c r="L294" s="1" t="s">
        <v>2251</v>
      </c>
      <c r="M294" s="1" t="s">
        <v>1199</v>
      </c>
      <c r="N294" s="9">
        <v>46240</v>
      </c>
      <c r="O294" s="9">
        <v>46083</v>
      </c>
      <c r="P294" s="9">
        <v>45892</v>
      </c>
      <c r="Q294" s="9">
        <v>45601</v>
      </c>
      <c r="R294" s="10" t="str">
        <f>HYPERLINK(_xlfn.CONCAT("https://mhmpl.sangamcrm.com/tickets/",Ticket3[[#This Row],[Id]]))</f>
        <v>https://mhmpl.sangamcrm.com/tickets/a9d7440c-92b7-480a-bbce-3746e489da32</v>
      </c>
      <c r="S294" s="9" t="str">
        <f>_xlfn.CONCAT(Ticket3[[#This Row],[Account Name]]," ",Ticket3[[#This Row],[City]]," ",Ticket3[[#This Row],[Product Name]]," ",Ticket3[[#This Row],[Ticket Type]]," ")</f>
        <v xml:space="preserve">CMC -SCHELL EYE HOSPITAL Vellore EM-4000 Service </v>
      </c>
    </row>
    <row r="295" spans="1:19" x14ac:dyDescent="0.25">
      <c r="A295" s="3">
        <v>48186</v>
      </c>
      <c r="B295" s="4" t="s">
        <v>2261</v>
      </c>
      <c r="C295" s="2">
        <v>46234</v>
      </c>
      <c r="D295" s="1" t="s">
        <v>2623</v>
      </c>
      <c r="E295" s="1" t="s">
        <v>2624</v>
      </c>
      <c r="F295" s="4" t="s">
        <v>2334</v>
      </c>
      <c r="G295" s="4" t="s">
        <v>1665</v>
      </c>
      <c r="H295" s="4" t="s">
        <v>2234</v>
      </c>
      <c r="I295" s="4" t="s">
        <v>2271</v>
      </c>
      <c r="J295" t="s">
        <v>2625</v>
      </c>
      <c r="K295" s="1" t="s">
        <v>2266</v>
      </c>
      <c r="L295" s="1" t="s">
        <v>2251</v>
      </c>
      <c r="M295" s="1" t="s">
        <v>1665</v>
      </c>
      <c r="N295" s="9">
        <v>46053</v>
      </c>
      <c r="O295" s="9">
        <v>45805</v>
      </c>
      <c r="P295" s="9">
        <v>45702</v>
      </c>
      <c r="Q295" s="9">
        <v>45530</v>
      </c>
      <c r="R295" s="10" t="str">
        <f>HYPERLINK(_xlfn.CONCAT("https://mhmpl.sangamcrm.com/tickets/",Ticket3[[#This Row],[Id]]))</f>
        <v>https://mhmpl.sangamcrm.com/tickets/ea681402-1ad3-483b-b9ce-9212d410dff6</v>
      </c>
      <c r="S295" s="9" t="str">
        <f>_xlfn.CONCAT(Ticket3[[#This Row],[Account Name]]," ",Ticket3[[#This Row],[City]]," ",Ticket3[[#This Row],[Product Name]]," ",Ticket3[[#This Row],[Ticket Type]]," ")</f>
        <v xml:space="preserve">ANUGRAHA EYE HOSPITAL BIJAPUR Vijayapura SIRIUS PMS </v>
      </c>
    </row>
    <row r="296" spans="1:19" x14ac:dyDescent="0.25">
      <c r="A296" s="3">
        <v>54434</v>
      </c>
      <c r="B296" s="4" t="s">
        <v>2358</v>
      </c>
      <c r="C296" s="2">
        <v>46268</v>
      </c>
      <c r="D296" s="1" t="s">
        <v>2626</v>
      </c>
      <c r="E296" s="1" t="s">
        <v>2627</v>
      </c>
      <c r="F296" s="4" t="s">
        <v>2269</v>
      </c>
      <c r="G296" s="4" t="s">
        <v>409</v>
      </c>
      <c r="H296" s="4" t="s">
        <v>2249</v>
      </c>
      <c r="I296" s="4" t="s">
        <v>2242</v>
      </c>
      <c r="J296" t="s">
        <v>2628</v>
      </c>
      <c r="K296" s="1" t="s">
        <v>2244</v>
      </c>
      <c r="L296" s="1" t="s">
        <v>2251</v>
      </c>
      <c r="M296" s="1" t="s">
        <v>409</v>
      </c>
      <c r="N296" s="9">
        <v>46129</v>
      </c>
      <c r="O296" s="9">
        <v>45975</v>
      </c>
      <c r="P296" s="9"/>
      <c r="Q296" s="9"/>
      <c r="R296" s="10" t="str">
        <f>HYPERLINK(_xlfn.CONCAT("https://mhmpl.sangamcrm.com/tickets/",Ticket3[[#This Row],[Id]]))</f>
        <v>https://mhmpl.sangamcrm.com/tickets/dc278024-1049-4a6c-b5b5-6ee316330dae</v>
      </c>
      <c r="S296" s="9" t="str">
        <f>_xlfn.CONCAT(Ticket3[[#This Row],[Account Name]]," ",Ticket3[[#This Row],[City]]," ",Ticket3[[#This Row],[Product Name]]," ",Ticket3[[#This Row],[Ticket Type]]," ")</f>
        <v xml:space="preserve">Sankara Netralayam Eye hospital Vijayawada DGH 6000 Service </v>
      </c>
    </row>
    <row r="297" spans="1:19" x14ac:dyDescent="0.25">
      <c r="A297" s="3">
        <v>46665</v>
      </c>
      <c r="B297" s="4" t="s">
        <v>2230</v>
      </c>
      <c r="C297" s="2">
        <v>46356</v>
      </c>
      <c r="D297" s="1" t="s">
        <v>2629</v>
      </c>
      <c r="E297" s="1" t="s">
        <v>2630</v>
      </c>
      <c r="F297" s="4" t="s">
        <v>2288</v>
      </c>
      <c r="G297" s="4" t="s">
        <v>1598</v>
      </c>
      <c r="H297" s="4" t="s">
        <v>2234</v>
      </c>
      <c r="I297" s="4" t="s">
        <v>2242</v>
      </c>
      <c r="J297" t="s">
        <v>2937</v>
      </c>
      <c r="K297" s="1" t="s">
        <v>2244</v>
      </c>
      <c r="L297" s="1" t="s">
        <v>2238</v>
      </c>
      <c r="M297" s="1" t="s">
        <v>1598</v>
      </c>
      <c r="N297" s="9">
        <v>46148</v>
      </c>
      <c r="O297" s="9">
        <v>45995</v>
      </c>
      <c r="P297" s="9">
        <v>45799</v>
      </c>
      <c r="Q297" s="9">
        <v>45621</v>
      </c>
      <c r="R297" s="10" t="str">
        <f>HYPERLINK(_xlfn.CONCAT("https://mhmpl.sangamcrm.com/tickets/",Ticket3[[#This Row],[Id]]))</f>
        <v>https://mhmpl.sangamcrm.com/tickets/97dbd1e3-daae-40e7-b44b-cea396eb3e81</v>
      </c>
      <c r="S297" s="9" t="str">
        <f>_xlfn.CONCAT(Ticket3[[#This Row],[Account Name]]," ",Ticket3[[#This Row],[City]]," ",Ticket3[[#This Row],[Product Name]]," ",Ticket3[[#This Row],[Ticket Type]]," ")</f>
        <v xml:space="preserve">CHAITANYA EYE HOSPITAL VIJAYAWADA VIJAYAWADA HS-2522BL PMS </v>
      </c>
    </row>
    <row r="298" spans="1:19" x14ac:dyDescent="0.25">
      <c r="A298" s="3">
        <v>46663</v>
      </c>
      <c r="B298" s="4" t="s">
        <v>2230</v>
      </c>
      <c r="C298" s="2">
        <v>46352</v>
      </c>
      <c r="D298" s="1" t="s">
        <v>2629</v>
      </c>
      <c r="E298" s="1" t="s">
        <v>2630</v>
      </c>
      <c r="F298" s="4" t="s">
        <v>2334</v>
      </c>
      <c r="G298" s="4" t="s">
        <v>1808</v>
      </c>
      <c r="H298" s="4" t="s">
        <v>2234</v>
      </c>
      <c r="I298" s="4" t="s">
        <v>2242</v>
      </c>
      <c r="J298" t="s">
        <v>2631</v>
      </c>
      <c r="K298" s="1" t="s">
        <v>2244</v>
      </c>
      <c r="L298" s="1" t="s">
        <v>2238</v>
      </c>
      <c r="M298" s="1" t="s">
        <v>1808</v>
      </c>
      <c r="N298" s="9">
        <v>46148</v>
      </c>
      <c r="O298" s="9">
        <v>45985</v>
      </c>
      <c r="P298" s="9">
        <v>45799</v>
      </c>
      <c r="Q298" s="9">
        <v>45621</v>
      </c>
      <c r="R298" s="10" t="str">
        <f>HYPERLINK(_xlfn.CONCAT("https://mhmpl.sangamcrm.com/tickets/",Ticket3[[#This Row],[Id]]))</f>
        <v>https://mhmpl.sangamcrm.com/tickets/56544e86-1a56-4622-b5d9-ac8468e5cbf9</v>
      </c>
      <c r="S298" s="9" t="str">
        <f>_xlfn.CONCAT(Ticket3[[#This Row],[Account Name]]," ",Ticket3[[#This Row],[City]]," ",Ticket3[[#This Row],[Product Name]]," ",Ticket3[[#This Row],[Ticket Type]]," ")</f>
        <v xml:space="preserve">CHAITANYA EYE HOSPITAL VIJAYAWADA VIJAYAWADA SIRIUS PMS </v>
      </c>
    </row>
    <row r="299" spans="1:19" x14ac:dyDescent="0.25">
      <c r="A299" s="3">
        <v>49970</v>
      </c>
      <c r="B299" s="4" t="s">
        <v>2293</v>
      </c>
      <c r="C299" s="2">
        <v>46303</v>
      </c>
      <c r="D299" s="1" t="s">
        <v>2706</v>
      </c>
      <c r="E299" s="1" t="s">
        <v>2630</v>
      </c>
      <c r="F299" s="4" t="s">
        <v>2707</v>
      </c>
      <c r="G299" s="4" t="s">
        <v>1809</v>
      </c>
      <c r="H299" s="4" t="s">
        <v>2249</v>
      </c>
      <c r="I299" s="4" t="s">
        <v>2242</v>
      </c>
      <c r="J299" t="s">
        <v>2708</v>
      </c>
      <c r="K299" s="1" t="s">
        <v>2244</v>
      </c>
      <c r="L299" s="1" t="s">
        <v>2251</v>
      </c>
      <c r="M299" s="1" t="s">
        <v>1809</v>
      </c>
      <c r="N299" s="9">
        <v>46129</v>
      </c>
      <c r="O299" s="9">
        <v>45967</v>
      </c>
      <c r="P299" s="9">
        <v>45775</v>
      </c>
      <c r="Q299" s="9">
        <v>45622</v>
      </c>
      <c r="R299" s="10" t="str">
        <f>HYPERLINK(_xlfn.CONCAT("https://mhmpl.sangamcrm.com/tickets/",Ticket3[[#This Row],[Id]]))</f>
        <v>https://mhmpl.sangamcrm.com/tickets/da5849cc-8ada-4d7e-903a-71766c2d7ed4</v>
      </c>
      <c r="S299" s="9" t="str">
        <f>_xlfn.CONCAT(Ticket3[[#This Row],[Account Name]]," ",Ticket3[[#This Row],[City]]," ",Ticket3[[#This Row],[Product Name]]," ",Ticket3[[#This Row],[Ticket Type]]," ")</f>
        <v xml:space="preserve">SMART VISION EYE HOSPITAL Vijayawada. VIJAYAWADA HS-2321VD Service </v>
      </c>
    </row>
    <row r="300" spans="1:19" x14ac:dyDescent="0.25">
      <c r="A300" s="3">
        <v>42817</v>
      </c>
      <c r="B300" s="4" t="s">
        <v>2230</v>
      </c>
      <c r="C300" s="2">
        <v>46326</v>
      </c>
      <c r="D300" s="1" t="s">
        <v>2632</v>
      </c>
      <c r="E300" s="1" t="s">
        <v>2633</v>
      </c>
      <c r="F300" s="4" t="s">
        <v>2288</v>
      </c>
      <c r="G300" s="4" t="s">
        <v>547</v>
      </c>
      <c r="H300" s="4" t="s">
        <v>2234</v>
      </c>
      <c r="I300" s="4" t="s">
        <v>2337</v>
      </c>
      <c r="J300" t="s">
        <v>2634</v>
      </c>
      <c r="K300" s="1" t="s">
        <v>2332</v>
      </c>
      <c r="L300" s="1" t="s">
        <v>2283</v>
      </c>
      <c r="M300" s="1" t="s">
        <v>547</v>
      </c>
      <c r="N300" s="9">
        <v>46160</v>
      </c>
      <c r="O300" s="9">
        <v>45946</v>
      </c>
      <c r="P300" s="9">
        <v>45757</v>
      </c>
      <c r="Q300" s="9"/>
      <c r="R300" s="10" t="str">
        <f>HYPERLINK(_xlfn.CONCAT("https://mhmpl.sangamcrm.com/tickets/",Ticket3[[#This Row],[Id]]))</f>
        <v>https://mhmpl.sangamcrm.com/tickets/2266e173-051a-41a9-b634-db133e27a8b7</v>
      </c>
      <c r="S300" s="9" t="str">
        <f>_xlfn.CONCAT(Ticket3[[#This Row],[Account Name]]," ",Ticket3[[#This Row],[City]]," ",Ticket3[[#This Row],[Product Name]]," ",Ticket3[[#This Row],[Ticket Type]]," ")</f>
        <v xml:space="preserve">THE EYE FOUNDATION Vellore Viruthambet HS-2522BL PMS </v>
      </c>
    </row>
    <row r="301" spans="1:19" x14ac:dyDescent="0.25">
      <c r="A301" s="3">
        <v>50313</v>
      </c>
      <c r="B301" s="4" t="s">
        <v>2230</v>
      </c>
      <c r="C301" s="2">
        <v>46356</v>
      </c>
      <c r="D301" s="1" t="s">
        <v>2766</v>
      </c>
      <c r="E301" s="1" t="s">
        <v>2767</v>
      </c>
      <c r="F301" s="4" t="s">
        <v>2233</v>
      </c>
      <c r="G301" s="4" t="s">
        <v>73</v>
      </c>
      <c r="H301" s="4" t="s">
        <v>2234</v>
      </c>
      <c r="I301" s="4" t="s">
        <v>2348</v>
      </c>
      <c r="J301" t="s">
        <v>2768</v>
      </c>
      <c r="K301" s="1" t="s">
        <v>2244</v>
      </c>
      <c r="L301" s="1" t="s">
        <v>2238</v>
      </c>
      <c r="M301" s="1" t="s">
        <v>73</v>
      </c>
      <c r="N301" s="9"/>
      <c r="O301" s="9"/>
      <c r="P301" s="9"/>
      <c r="Q301" s="9"/>
      <c r="R301" s="10" t="str">
        <f>HYPERLINK(_xlfn.CONCAT("https://mhmpl.sangamcrm.com/tickets/",Ticket3[[#This Row],[Id]]))</f>
        <v>https://mhmpl.sangamcrm.com/tickets/debd726f-cb8b-4109-af09-8724ce7f49f3</v>
      </c>
      <c r="S301" s="9" t="str">
        <f>_xlfn.CONCAT(Ticket3[[#This Row],[Account Name]]," ",Ticket3[[#This Row],[City]]," ",Ticket3[[#This Row],[Product Name]]," ",Ticket3[[#This Row],[Ticket Type]]," ")</f>
        <v xml:space="preserve">Bhanu Eye Care Visakhapatnam REVO 60 PMS </v>
      </c>
    </row>
    <row r="302" spans="1:19" x14ac:dyDescent="0.25">
      <c r="A302" s="3">
        <v>56865</v>
      </c>
      <c r="B302" s="4" t="s">
        <v>2358</v>
      </c>
      <c r="C302" s="2">
        <v>46319</v>
      </c>
      <c r="D302" s="1" t="s">
        <v>2691</v>
      </c>
      <c r="E302" s="1" t="s">
        <v>2636</v>
      </c>
      <c r="F302" s="4" t="s">
        <v>2284</v>
      </c>
      <c r="G302" s="4" t="s">
        <v>206</v>
      </c>
      <c r="H302" s="4" t="s">
        <v>2249</v>
      </c>
      <c r="I302" s="4" t="s">
        <v>2244</v>
      </c>
      <c r="J302" t="s">
        <v>2692</v>
      </c>
      <c r="K302" s="1" t="s">
        <v>2244</v>
      </c>
      <c r="L302" s="1" t="s">
        <v>2251</v>
      </c>
      <c r="M302" s="1" t="s">
        <v>206</v>
      </c>
      <c r="N302" s="9">
        <v>46211</v>
      </c>
      <c r="O302" s="9"/>
      <c r="P302" s="9"/>
      <c r="Q302" s="9"/>
      <c r="R302" s="10" t="str">
        <f>HYPERLINK(_xlfn.CONCAT("https://mhmpl.sangamcrm.com/tickets/",Ticket3[[#This Row],[Id]]))</f>
        <v>https://mhmpl.sangamcrm.com/tickets/c0eb483e-d7a1-4509-b0cb-67e791c7a5ae</v>
      </c>
      <c r="S302" s="9" t="str">
        <f>_xlfn.CONCAT(Ticket3[[#This Row],[Account Name]]," ",Ticket3[[#This Row],[City]]," ",Ticket3[[#This Row],[Product Name]]," ",Ticket3[[#This Row],[Ticket Type]]," ")</f>
        <v xml:space="preserve">SANKAR FOUNDATION VISAKHAPATNAM OA-2000 Service </v>
      </c>
    </row>
    <row r="303" spans="1:19" x14ac:dyDescent="0.25">
      <c r="A303" s="3">
        <v>44553</v>
      </c>
      <c r="B303" s="4" t="s">
        <v>2230</v>
      </c>
      <c r="C303" s="2">
        <v>46356</v>
      </c>
      <c r="D303" s="1" t="s">
        <v>2691</v>
      </c>
      <c r="E303" s="1" t="s">
        <v>2636</v>
      </c>
      <c r="F303" s="4" t="s">
        <v>2284</v>
      </c>
      <c r="G303" s="4" t="s">
        <v>206</v>
      </c>
      <c r="H303" s="4" t="s">
        <v>2234</v>
      </c>
      <c r="I303" s="4" t="s">
        <v>2348</v>
      </c>
      <c r="J303" t="s">
        <v>2787</v>
      </c>
      <c r="K303" s="1" t="s">
        <v>2244</v>
      </c>
      <c r="L303" s="1" t="s">
        <v>2238</v>
      </c>
      <c r="M303" s="1" t="s">
        <v>206</v>
      </c>
      <c r="N303" s="9">
        <v>46211</v>
      </c>
      <c r="O303" s="9"/>
      <c r="P303" s="9"/>
      <c r="Q303" s="9"/>
      <c r="R303" s="10" t="str">
        <f>HYPERLINK(_xlfn.CONCAT("https://mhmpl.sangamcrm.com/tickets/",Ticket3[[#This Row],[Id]]))</f>
        <v>https://mhmpl.sangamcrm.com/tickets/f34ce841-9016-4574-8ed6-d35042031504</v>
      </c>
      <c r="S303" s="9" t="str">
        <f>_xlfn.CONCAT(Ticket3[[#This Row],[Account Name]]," ",Ticket3[[#This Row],[City]]," ",Ticket3[[#This Row],[Product Name]]," ",Ticket3[[#This Row],[Ticket Type]]," ")</f>
        <v xml:space="preserve">SANKAR FOUNDATION VISAKHAPATNAM OA-2000 PMS </v>
      </c>
    </row>
    <row r="304" spans="1:19" x14ac:dyDescent="0.25">
      <c r="A304" s="3">
        <v>51323</v>
      </c>
      <c r="B304" s="4" t="s">
        <v>2230</v>
      </c>
      <c r="C304" s="2">
        <v>46356</v>
      </c>
      <c r="D304" s="1" t="s">
        <v>2905</v>
      </c>
      <c r="E304" s="1" t="s">
        <v>2636</v>
      </c>
      <c r="F304" s="4" t="s">
        <v>2275</v>
      </c>
      <c r="G304" s="4" t="s">
        <v>1350</v>
      </c>
      <c r="H304" s="4" t="s">
        <v>2234</v>
      </c>
      <c r="I304" s="4" t="s">
        <v>2348</v>
      </c>
      <c r="J304" t="s">
        <v>2906</v>
      </c>
      <c r="K304" s="1" t="s">
        <v>2244</v>
      </c>
      <c r="L304" s="1" t="s">
        <v>2238</v>
      </c>
      <c r="M304" s="1" t="s">
        <v>1350</v>
      </c>
      <c r="N304" s="9">
        <v>46272</v>
      </c>
      <c r="O304" s="9">
        <v>46199</v>
      </c>
      <c r="P304" s="9">
        <v>46127</v>
      </c>
      <c r="Q304" s="9">
        <v>46050</v>
      </c>
      <c r="R304" s="10" t="str">
        <f>HYPERLINK(_xlfn.CONCAT("https://mhmpl.sangamcrm.com/tickets/",Ticket3[[#This Row],[Id]]))</f>
        <v>https://mhmpl.sangamcrm.com/tickets/b2b387ed-e195-4625-8bff-b59e5217c28f</v>
      </c>
      <c r="S304" s="9" t="str">
        <f>_xlfn.CONCAT(Ticket3[[#This Row],[Account Name]]," ",Ticket3[[#This Row],[City]]," ",Ticket3[[#This Row],[Product Name]]," ",Ticket3[[#This Row],[Ticket Type]]," ")</f>
        <v xml:space="preserve">INHS KALYANI VISAKHAPATNAM EM-4000 PMS </v>
      </c>
    </row>
    <row r="305" spans="1:19" x14ac:dyDescent="0.25">
      <c r="A305" s="3">
        <v>49964</v>
      </c>
      <c r="B305" s="4" t="s">
        <v>2230</v>
      </c>
      <c r="C305" s="2">
        <v>46326</v>
      </c>
      <c r="D305" s="1" t="s">
        <v>2635</v>
      </c>
      <c r="E305" s="1" t="s">
        <v>2636</v>
      </c>
      <c r="F305" s="4" t="s">
        <v>2308</v>
      </c>
      <c r="G305" s="4" t="s">
        <v>1529</v>
      </c>
      <c r="H305" s="4" t="s">
        <v>2234</v>
      </c>
      <c r="I305" s="4" t="s">
        <v>2348</v>
      </c>
      <c r="J305" t="s">
        <v>2637</v>
      </c>
      <c r="K305" s="1" t="s">
        <v>2244</v>
      </c>
      <c r="L305" s="1" t="s">
        <v>2283</v>
      </c>
      <c r="M305" s="1" t="s">
        <v>1529</v>
      </c>
      <c r="N305" s="9">
        <v>46057</v>
      </c>
      <c r="O305" s="9">
        <v>45933</v>
      </c>
      <c r="P305" s="9">
        <v>45755</v>
      </c>
      <c r="Q305" s="9">
        <v>45555</v>
      </c>
      <c r="R305" s="10" t="str">
        <f>HYPERLINK(_xlfn.CONCAT("https://mhmpl.sangamcrm.com/tickets/",Ticket3[[#This Row],[Id]]))</f>
        <v>https://mhmpl.sangamcrm.com/tickets/23db3f91-6426-4b91-829e-3e15fb677b64</v>
      </c>
      <c r="S305" s="9" t="str">
        <f>_xlfn.CONCAT(Ticket3[[#This Row],[Account Name]]," ",Ticket3[[#This Row],[City]]," ",Ticket3[[#This Row],[Product Name]]," ",Ticket3[[#This Row],[Ticket Type]]," ")</f>
        <v xml:space="preserve">SANKAR FOUNDATION EYE HOSPITAL VISAKHAPATNAM PTS 2000 PMS </v>
      </c>
    </row>
    <row r="306" spans="1:19" x14ac:dyDescent="0.25">
      <c r="A306" s="3">
        <v>53007</v>
      </c>
      <c r="B306" s="4" t="s">
        <v>2245</v>
      </c>
      <c r="C306" s="2">
        <v>46230</v>
      </c>
      <c r="D306" s="1" t="s">
        <v>2638</v>
      </c>
      <c r="E306" s="1" t="s">
        <v>2639</v>
      </c>
      <c r="F306" s="4" t="s">
        <v>2284</v>
      </c>
      <c r="G306" s="4" t="s">
        <v>255</v>
      </c>
      <c r="H306" s="4" t="s">
        <v>2249</v>
      </c>
      <c r="I306" s="4" t="s">
        <v>2242</v>
      </c>
      <c r="J306" t="s">
        <v>2640</v>
      </c>
      <c r="K306" s="1" t="s">
        <v>2244</v>
      </c>
      <c r="L306" s="1" t="s">
        <v>2251</v>
      </c>
      <c r="M306" s="1" t="s">
        <v>255</v>
      </c>
      <c r="N306" s="9">
        <v>46178</v>
      </c>
      <c r="O306" s="9"/>
      <c r="P306" s="9"/>
      <c r="Q306" s="9"/>
      <c r="R306" s="10" t="str">
        <f>HYPERLINK(_xlfn.CONCAT("https://mhmpl.sangamcrm.com/tickets/",Ticket3[[#This Row],[Id]]))</f>
        <v>https://mhmpl.sangamcrm.com/tickets/e7c9a464-951f-4fbb-b9dc-9e292b9748a1</v>
      </c>
      <c r="S306" s="9" t="str">
        <f>_xlfn.CONCAT(Ticket3[[#This Row],[Account Name]]," ",Ticket3[[#This Row],[City]]," ",Ticket3[[#This Row],[Product Name]]," ",Ticket3[[#This Row],[Ticket Type]]," ")</f>
        <v xml:space="preserve">Swamy eye Hospital Vizianagaram OA-2000 Service </v>
      </c>
    </row>
    <row r="307" spans="1:19" x14ac:dyDescent="0.25">
      <c r="A307" s="3">
        <v>44577</v>
      </c>
      <c r="B307" s="4" t="s">
        <v>2245</v>
      </c>
      <c r="C307" s="2">
        <v>46338</v>
      </c>
      <c r="D307" s="1" t="s">
        <v>2638</v>
      </c>
      <c r="E307" s="1" t="s">
        <v>2639</v>
      </c>
      <c r="F307" s="4" t="s">
        <v>2284</v>
      </c>
      <c r="G307" s="4" t="s">
        <v>255</v>
      </c>
      <c r="H307" s="4" t="s">
        <v>2234</v>
      </c>
      <c r="I307" s="4" t="s">
        <v>2242</v>
      </c>
      <c r="J307" t="s">
        <v>2641</v>
      </c>
      <c r="K307" s="1" t="s">
        <v>2244</v>
      </c>
      <c r="L307" s="1" t="s">
        <v>2238</v>
      </c>
      <c r="M307" s="1" t="s">
        <v>255</v>
      </c>
      <c r="N307" s="9">
        <v>46178</v>
      </c>
      <c r="O307" s="9"/>
      <c r="P307" s="9"/>
      <c r="Q307" s="9"/>
      <c r="R307" s="10" t="str">
        <f>HYPERLINK(_xlfn.CONCAT("https://mhmpl.sangamcrm.com/tickets/",Ticket3[[#This Row],[Id]]))</f>
        <v>https://mhmpl.sangamcrm.com/tickets/ad5f8e9c-1ce0-4401-b543-18677602dac9</v>
      </c>
      <c r="S307" s="9" t="str">
        <f>_xlfn.CONCAT(Ticket3[[#This Row],[Account Name]]," ",Ticket3[[#This Row],[City]]," ",Ticket3[[#This Row],[Product Name]]," ",Ticket3[[#This Row],[Ticket Type]]," ")</f>
        <v xml:space="preserve">Swamy eye Hospital Vizianagaram OA-2000 PMS </v>
      </c>
    </row>
    <row r="308" spans="1:19" x14ac:dyDescent="0.25">
      <c r="A308" s="3">
        <v>56638</v>
      </c>
      <c r="B308" s="4" t="s">
        <v>2364</v>
      </c>
      <c r="C308" s="2">
        <v>46317</v>
      </c>
      <c r="D308" s="1" t="s">
        <v>2548</v>
      </c>
      <c r="E308" s="1"/>
      <c r="F308" s="4" t="s">
        <v>2248</v>
      </c>
      <c r="G308" s="4" t="s">
        <v>128</v>
      </c>
      <c r="H308" s="4" t="s">
        <v>2249</v>
      </c>
      <c r="I308" s="4" t="s">
        <v>2257</v>
      </c>
      <c r="J308" t="s">
        <v>2661</v>
      </c>
      <c r="K308" s="1" t="s">
        <v>2257</v>
      </c>
      <c r="L308" s="1" t="s">
        <v>2251</v>
      </c>
      <c r="M308" s="1" t="s">
        <v>128</v>
      </c>
      <c r="N308" s="9"/>
      <c r="O308" s="9"/>
      <c r="P308" s="9"/>
      <c r="Q308" s="9"/>
      <c r="R308" s="10" t="str">
        <f>HYPERLINK(_xlfn.CONCAT("https://mhmpl.sangamcrm.com/tickets/",Ticket3[[#This Row],[Id]]))</f>
        <v>https://mhmpl.sangamcrm.com/tickets/4f0e0431-ae27-4a49-9b6b-2ec0654f2245</v>
      </c>
      <c r="S308" s="9" t="str">
        <f>_xlfn.CONCAT(Ticket3[[#This Row],[Account Name]]," ",Ticket3[[#This Row],[City]]," ",Ticket3[[#This Row],[Product Name]]," ",Ticket3[[#This Row],[Ticket Type]]," ")</f>
        <v xml:space="preserve">ARUL EYE CARE  E-Eye Service </v>
      </c>
    </row>
    <row r="309" spans="1:19" x14ac:dyDescent="0.25">
      <c r="A309" s="3">
        <v>55701</v>
      </c>
      <c r="B309" s="4" t="s">
        <v>2230</v>
      </c>
      <c r="C309" s="2">
        <v>46294</v>
      </c>
      <c r="D309" s="1" t="s">
        <v>2381</v>
      </c>
      <c r="E309" s="1"/>
      <c r="F309" s="4" t="s">
        <v>2303</v>
      </c>
      <c r="G309" s="4" t="s">
        <v>339</v>
      </c>
      <c r="H309" s="4" t="s">
        <v>2249</v>
      </c>
      <c r="I309" s="4" t="s">
        <v>2257</v>
      </c>
      <c r="J309" t="s">
        <v>2642</v>
      </c>
      <c r="K309" s="1" t="s">
        <v>2257</v>
      </c>
      <c r="L309" s="1" t="s">
        <v>2251</v>
      </c>
      <c r="M309" s="1" t="s">
        <v>339</v>
      </c>
      <c r="N309" s="9">
        <v>46261</v>
      </c>
      <c r="O309" s="9">
        <v>46073</v>
      </c>
      <c r="P309" s="9"/>
      <c r="Q309" s="9"/>
      <c r="R309" s="10" t="str">
        <f>HYPERLINK(_xlfn.CONCAT("https://mhmpl.sangamcrm.com/tickets/",Ticket3[[#This Row],[Id]]))</f>
        <v>https://mhmpl.sangamcrm.com/tickets/7684be5d-081b-4a51-ae4b-f8f7da6d340e</v>
      </c>
      <c r="S309" s="9" t="str">
        <f>_xlfn.CONCAT(Ticket3[[#This Row],[Account Name]]," ",Ticket3[[#This Row],[City]]," ",Ticket3[[#This Row],[Product Name]]," ",Ticket3[[#This Row],[Ticket Type]]," ")</f>
        <v xml:space="preserve">ARAVIND EYE HOSPITAL  EX500 Service </v>
      </c>
    </row>
    <row r="310" spans="1:19" x14ac:dyDescent="0.25">
      <c r="A310" s="3">
        <v>57062</v>
      </c>
      <c r="B310" s="4" t="s">
        <v>2364</v>
      </c>
      <c r="C310" s="2">
        <v>46324</v>
      </c>
      <c r="D310" s="1" t="s">
        <v>2388</v>
      </c>
      <c r="E310" s="1"/>
      <c r="F310" s="4" t="s">
        <v>2284</v>
      </c>
      <c r="G310" s="4" t="s">
        <v>1008</v>
      </c>
      <c r="H310" s="4" t="s">
        <v>2249</v>
      </c>
      <c r="I310" s="4" t="s">
        <v>2257</v>
      </c>
      <c r="J310" t="s">
        <v>2700</v>
      </c>
      <c r="K310" s="1" t="s">
        <v>2257</v>
      </c>
      <c r="L310" s="1" t="s">
        <v>2251</v>
      </c>
      <c r="M310" s="1" t="s">
        <v>1008</v>
      </c>
      <c r="N310" s="9">
        <v>46189</v>
      </c>
      <c r="O310" s="9">
        <v>46080</v>
      </c>
      <c r="P310" s="9">
        <v>45910</v>
      </c>
      <c r="Q310" s="9">
        <v>45667</v>
      </c>
      <c r="R310" s="10" t="str">
        <f>HYPERLINK(_xlfn.CONCAT("https://mhmpl.sangamcrm.com/tickets/",Ticket3[[#This Row],[Id]]))</f>
        <v>https://mhmpl.sangamcrm.com/tickets/c107a139-e46f-4461-9416-61185defd9cb</v>
      </c>
      <c r="S310" s="9" t="str">
        <f>_xlfn.CONCAT(Ticket3[[#This Row],[Account Name]]," ",Ticket3[[#This Row],[City]]," ",Ticket3[[#This Row],[Product Name]]," ",Ticket3[[#This Row],[Ticket Type]]," ")</f>
        <v xml:space="preserve">K S EYE HOSPITAL  OA-2000 Service </v>
      </c>
    </row>
    <row r="311" spans="1:19" x14ac:dyDescent="0.25">
      <c r="A311" s="3">
        <v>57106</v>
      </c>
      <c r="B311" s="4" t="s">
        <v>2258</v>
      </c>
      <c r="C311" s="2">
        <v>46326</v>
      </c>
      <c r="D311" s="1" t="s">
        <v>2987</v>
      </c>
      <c r="E311" s="1"/>
      <c r="F311" s="4" t="s">
        <v>2296</v>
      </c>
      <c r="G311" s="4" t="s">
        <v>2002</v>
      </c>
      <c r="H311" s="4" t="s">
        <v>2249</v>
      </c>
      <c r="I311" s="4" t="s">
        <v>2266</v>
      </c>
      <c r="J311" t="s">
        <v>2988</v>
      </c>
      <c r="K311" s="1" t="s">
        <v>2266</v>
      </c>
      <c r="L311" s="1" t="s">
        <v>2283</v>
      </c>
      <c r="M311" s="1" t="s">
        <v>2002</v>
      </c>
      <c r="N311" s="9">
        <v>46286</v>
      </c>
      <c r="O311" s="9">
        <v>46061</v>
      </c>
      <c r="P311" s="9">
        <v>45903</v>
      </c>
      <c r="Q311" s="9">
        <v>45701</v>
      </c>
      <c r="R311" s="10" t="str">
        <f>HYPERLINK(_xlfn.CONCAT("https://mhmpl.sangamcrm.com/tickets/",Ticket3[[#This Row],[Id]]))</f>
        <v>https://mhmpl.sangamcrm.com/tickets/40d32e81-8b3b-4fd6-920a-d4b688919323</v>
      </c>
      <c r="S311" s="9" t="str">
        <f>_xlfn.CONCAT(Ticket3[[#This Row],[Account Name]]," ",Ticket3[[#This Row],[City]]," ",Ticket3[[#This Row],[Product Name]]," ",Ticket3[[#This Row],[Ticket Type]]," ")</f>
        <v xml:space="preserve">SANKARA EYE HOSPITAL Bangalore  FS200 Service </v>
      </c>
    </row>
    <row r="312" spans="1:19" x14ac:dyDescent="0.25">
      <c r="A312" s="3">
        <v>56972</v>
      </c>
      <c r="B312" s="4" t="s">
        <v>2364</v>
      </c>
      <c r="C312" s="2">
        <v>46322</v>
      </c>
      <c r="D312" s="1" t="s">
        <v>2712</v>
      </c>
      <c r="E312" s="1"/>
      <c r="F312" s="4" t="s">
        <v>2321</v>
      </c>
      <c r="G312" s="4" t="s">
        <v>2686</v>
      </c>
      <c r="H312" s="4" t="s">
        <v>2683</v>
      </c>
      <c r="I312" s="4" t="s">
        <v>2271</v>
      </c>
      <c r="J312" t="s">
        <v>2713</v>
      </c>
      <c r="K312" s="1" t="s">
        <v>2266</v>
      </c>
      <c r="L312" s="1" t="s">
        <v>2251</v>
      </c>
      <c r="M312" s="1" t="s">
        <v>2686</v>
      </c>
      <c r="N312" s="9"/>
      <c r="O312" s="9"/>
      <c r="P312" s="9"/>
      <c r="Q312" s="9"/>
      <c r="R312" s="10" t="str">
        <f>HYPERLINK(_xlfn.CONCAT("https://mhmpl.sangamcrm.com/tickets/",Ticket3[[#This Row],[Id]]))</f>
        <v>https://mhmpl.sangamcrm.com/tickets/8fd561f0-9768-4935-9586-89333eee70b3</v>
      </c>
      <c r="S312" s="9" t="str">
        <f>_xlfn.CONCAT(Ticket3[[#This Row],[Account Name]]," ",Ticket3[[#This Row],[City]]," ",Ticket3[[#This Row],[Product Name]]," ",Ticket3[[#This Row],[Ticket Type]]," ")</f>
        <v xml:space="preserve">Dr AGARWALS EYE HOSPITAL MAGADI RD  Pachette 4 Installation,Demo </v>
      </c>
    </row>
    <row r="313" spans="1:19" x14ac:dyDescent="0.25">
      <c r="A313" s="3">
        <v>56450</v>
      </c>
      <c r="B313" s="4" t="s">
        <v>2364</v>
      </c>
      <c r="C313" s="2">
        <v>46294</v>
      </c>
      <c r="D313" s="1" t="s">
        <v>2267</v>
      </c>
      <c r="E313" s="1"/>
      <c r="F313" s="4" t="s">
        <v>2269</v>
      </c>
      <c r="G313" s="4" t="s">
        <v>2660</v>
      </c>
      <c r="H313" s="4" t="s">
        <v>2683</v>
      </c>
      <c r="I313" s="4" t="s">
        <v>2271</v>
      </c>
      <c r="J313" t="s">
        <v>2684</v>
      </c>
      <c r="K313" s="1" t="s">
        <v>2266</v>
      </c>
      <c r="L313" s="1" t="s">
        <v>2251</v>
      </c>
      <c r="M313" s="1" t="s">
        <v>2660</v>
      </c>
      <c r="N313" s="9"/>
      <c r="O313" s="9"/>
      <c r="P313" s="9"/>
      <c r="Q313" s="9"/>
      <c r="R313" s="10" t="str">
        <f>HYPERLINK(_xlfn.CONCAT("https://mhmpl.sangamcrm.com/tickets/",Ticket3[[#This Row],[Id]]))</f>
        <v>https://mhmpl.sangamcrm.com/tickets/b39fa1a8-ef6c-46b7-907b-950470c5569a</v>
      </c>
      <c r="S313" s="9" t="str">
        <f>_xlfn.CONCAT(Ticket3[[#This Row],[Account Name]]," ",Ticket3[[#This Row],[City]]," ",Ticket3[[#This Row],[Product Name]]," ",Ticket3[[#This Row],[Ticket Type]]," ")</f>
        <v xml:space="preserve">Idrishti eye hospital  DGH 6000 Installation,Demo </v>
      </c>
    </row>
    <row r="314" spans="1:19" x14ac:dyDescent="0.25">
      <c r="A314" s="3">
        <v>49206</v>
      </c>
      <c r="B314" s="4" t="s">
        <v>2364</v>
      </c>
      <c r="C314" s="2">
        <v>46149</v>
      </c>
      <c r="D314" s="1" t="s">
        <v>2645</v>
      </c>
      <c r="E314" s="1"/>
      <c r="F314" s="4" t="s">
        <v>2646</v>
      </c>
      <c r="G314" s="4" t="s">
        <v>2647</v>
      </c>
      <c r="H314" s="4" t="s">
        <v>2648</v>
      </c>
      <c r="I314" s="4" t="s">
        <v>2266</v>
      </c>
      <c r="J314" t="s">
        <v>2649</v>
      </c>
      <c r="K314" s="1" t="s">
        <v>2266</v>
      </c>
      <c r="L314" s="1" t="s">
        <v>2251</v>
      </c>
      <c r="M314" s="1"/>
      <c r="N314" s="9"/>
      <c r="O314" s="9"/>
      <c r="P314" s="9"/>
      <c r="Q314" s="9"/>
      <c r="R314" s="10" t="str">
        <f>HYPERLINK(_xlfn.CONCAT("https://mhmpl.sangamcrm.com/tickets/",Ticket3[[#This Row],[Id]]))</f>
        <v>https://mhmpl.sangamcrm.com/tickets/4dd12446-07ae-42de-9b6c-482ed3858687</v>
      </c>
      <c r="S314" s="9" t="str">
        <f>_xlfn.CONCAT(Ticket3[[#This Row],[Account Name]]," ",Ticket3[[#This Row],[City]]," ",Ticket3[[#This Row],[Product Name]]," ",Ticket3[[#This Row],[Ticket Type]]," ")</f>
        <v xml:space="preserve">Alcon Laboratories (India) Private Limited  INNOVEYES SIGHTMAP Retrofit </v>
      </c>
    </row>
  </sheetData>
  <phoneticPr fontId="2" type="noConversion"/>
  <conditionalFormatting sqref="G1:G1048576">
    <cfRule type="duplicateValues" dxfId="18" priority="1"/>
  </conditionalFormatting>
  <printOptions horizontalCentered="1" verticalCentered="1"/>
  <pageMargins left="0.7" right="0.7" top="0.75" bottom="0.75" header="0.3" footer="0.3"/>
  <pageSetup paperSize="9" orientation="landscape"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975AB-07C9-44B8-BAD1-04FB0336CE4D}">
  <dimension ref="A1:B22"/>
  <sheetViews>
    <sheetView workbookViewId="0">
      <selection activeCell="U12" sqref="U12"/>
    </sheetView>
  </sheetViews>
  <sheetFormatPr defaultRowHeight="15" x14ac:dyDescent="0.25"/>
  <cols>
    <col min="1" max="1" width="21" bestFit="1" customWidth="1"/>
    <col min="2" max="2" width="7.42578125" bestFit="1" customWidth="1"/>
  </cols>
  <sheetData>
    <row r="1" spans="1:2" x14ac:dyDescent="0.25">
      <c r="A1" s="5" t="s">
        <v>2650</v>
      </c>
      <c r="B1" t="s">
        <v>2651</v>
      </c>
    </row>
    <row r="2" spans="1:2" x14ac:dyDescent="0.25">
      <c r="A2" s="6" t="s">
        <v>2235</v>
      </c>
      <c r="B2" s="1">
        <v>50</v>
      </c>
    </row>
    <row r="3" spans="1:2" x14ac:dyDescent="0.25">
      <c r="A3" s="6" t="s">
        <v>2271</v>
      </c>
      <c r="B3" s="1">
        <v>36</v>
      </c>
    </row>
    <row r="4" spans="1:2" x14ac:dyDescent="0.25">
      <c r="A4" s="6" t="s">
        <v>2281</v>
      </c>
      <c r="B4" s="1">
        <v>27</v>
      </c>
    </row>
    <row r="5" spans="1:2" x14ac:dyDescent="0.25">
      <c r="A5" s="6" t="s">
        <v>2257</v>
      </c>
      <c r="B5" s="1">
        <v>24</v>
      </c>
    </row>
    <row r="6" spans="1:2" x14ac:dyDescent="0.25">
      <c r="A6" s="6" t="s">
        <v>2327</v>
      </c>
      <c r="B6" s="1">
        <v>23</v>
      </c>
    </row>
    <row r="7" spans="1:2" x14ac:dyDescent="0.25">
      <c r="A7" s="6" t="s">
        <v>2407</v>
      </c>
      <c r="B7" s="1">
        <v>18</v>
      </c>
    </row>
    <row r="8" spans="1:2" x14ac:dyDescent="0.25">
      <c r="A8" s="6" t="s">
        <v>2400</v>
      </c>
      <c r="B8" s="1">
        <v>16</v>
      </c>
    </row>
    <row r="9" spans="1:2" x14ac:dyDescent="0.25">
      <c r="A9" s="6" t="s">
        <v>2348</v>
      </c>
      <c r="B9" s="1">
        <v>15</v>
      </c>
    </row>
    <row r="10" spans="1:2" x14ac:dyDescent="0.25">
      <c r="A10" s="6" t="s">
        <v>2337</v>
      </c>
      <c r="B10" s="1">
        <v>15</v>
      </c>
    </row>
    <row r="11" spans="1:2" x14ac:dyDescent="0.25">
      <c r="A11" s="6" t="s">
        <v>2255</v>
      </c>
      <c r="B11" s="1">
        <v>14</v>
      </c>
    </row>
    <row r="12" spans="1:2" x14ac:dyDescent="0.25">
      <c r="A12" s="6" t="s">
        <v>2242</v>
      </c>
      <c r="B12" s="1">
        <v>14</v>
      </c>
    </row>
    <row r="13" spans="1:2" x14ac:dyDescent="0.25">
      <c r="A13" s="6" t="s">
        <v>2332</v>
      </c>
      <c r="B13" s="1">
        <v>13</v>
      </c>
    </row>
    <row r="14" spans="1:2" x14ac:dyDescent="0.25">
      <c r="A14" s="6" t="s">
        <v>2237</v>
      </c>
      <c r="B14" s="1">
        <v>12</v>
      </c>
    </row>
    <row r="15" spans="1:2" x14ac:dyDescent="0.25">
      <c r="A15" s="6" t="s">
        <v>2266</v>
      </c>
      <c r="B15" s="1">
        <v>10</v>
      </c>
    </row>
    <row r="16" spans="1:2" x14ac:dyDescent="0.25">
      <c r="A16" s="6" t="s">
        <v>2331</v>
      </c>
      <c r="B16" s="1">
        <v>8</v>
      </c>
    </row>
    <row r="17" spans="1:2" x14ac:dyDescent="0.25">
      <c r="A17" s="6" t="s">
        <v>2244</v>
      </c>
      <c r="B17" s="1">
        <v>7</v>
      </c>
    </row>
    <row r="18" spans="1:2" x14ac:dyDescent="0.25">
      <c r="A18" s="6" t="s">
        <v>2260</v>
      </c>
      <c r="B18" s="1">
        <v>6</v>
      </c>
    </row>
    <row r="19" spans="1:2" x14ac:dyDescent="0.25">
      <c r="A19" s="6" t="s">
        <v>2386</v>
      </c>
      <c r="B19" s="1">
        <v>3</v>
      </c>
    </row>
    <row r="20" spans="1:2" x14ac:dyDescent="0.25">
      <c r="A20" s="6" t="s">
        <v>2709</v>
      </c>
      <c r="B20" s="1">
        <v>1</v>
      </c>
    </row>
    <row r="21" spans="1:2" x14ac:dyDescent="0.25">
      <c r="A21" s="6" t="s">
        <v>2520</v>
      </c>
      <c r="B21" s="1">
        <v>1</v>
      </c>
    </row>
    <row r="22" spans="1:2" x14ac:dyDescent="0.25">
      <c r="A22" s="6" t="s">
        <v>2652</v>
      </c>
      <c r="B22" s="1">
        <v>313</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9B23A5E-6627-44BA-8381-EB45B703097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PMS</vt:lpstr>
      <vt:lpstr>Tickets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Printo P Ollukaran</dc:creator>
  <cp:keywords/>
  <dc:description/>
  <cp:lastModifiedBy>Printo Ollukaran</cp:lastModifiedBy>
  <cp:revision/>
  <dcterms:created xsi:type="dcterms:W3CDTF">2015-06-05T18:17:20Z</dcterms:created>
  <dcterms:modified xsi:type="dcterms:W3CDTF">2026-10-31T13:01:43Z</dcterms:modified>
  <cp:category/>
  <cp:contentStatus/>
</cp:coreProperties>
</file>